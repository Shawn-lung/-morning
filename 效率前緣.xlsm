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tin\Downloads\"/>
    </mc:Choice>
  </mc:AlternateContent>
  <xr:revisionPtr revIDLastSave="0" documentId="13_ncr:1_{C7341B34-5119-4204-A2ED-9E54193FDDFF}" xr6:coauthVersionLast="47" xr6:coauthVersionMax="47" xr10:uidLastSave="{00000000-0000-0000-0000-000000000000}"/>
  <bookViews>
    <workbookView xWindow="-110" yWindow="-110" windowWidth="19420" windowHeight="10300" activeTab="3" xr2:uid="{720DF2F3-16B8-43BA-AEB8-25D472615DDF}"/>
  </bookViews>
  <sheets>
    <sheet name="輸入面板" sheetId="160" r:id="rId1"/>
    <sheet name="五股收盤價與其他數據彙總" sheetId="2661" r:id="rId2"/>
    <sheet name="模擬股票報酬" sheetId="2823" r:id="rId3"/>
    <sheet name="最佳化權重與數據" sheetId="3007" r:id="rId4"/>
    <sheet name="2882" sheetId="3243" r:id="rId5"/>
    <sheet name="2330" sheetId="3244" r:id="rId6"/>
    <sheet name="00878 " sheetId="3245" r:id="rId7"/>
    <sheet name="0056" sheetId="3246" r:id="rId8"/>
    <sheet name="2912" sheetId="3247" r:id="rId9"/>
  </sheets>
  <functionGroups builtInGroupCount="19"/>
  <definedNames>
    <definedName name="solver_adj" localSheetId="3" hidden="1">最佳化權重與數據!$K$58:$O$58</definedName>
    <definedName name="solver_eng" localSheetId="3" hidden="1">1</definedName>
    <definedName name="solver_lhs1" localSheetId="3" hidden="1">最佳化權重與數據!$P$58</definedName>
    <definedName name="solver_neg" localSheetId="3" hidden="1">1</definedName>
    <definedName name="solver_num" localSheetId="3" hidden="1">1</definedName>
    <definedName name="solver_opt" localSheetId="3" hidden="1">最佳化權重與數據!$T$58</definedName>
    <definedName name="solver_rel1" localSheetId="3" hidden="1">2</definedName>
    <definedName name="solver_rhs1" localSheetId="3" hidden="1">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2" i="2823" l="1"/>
  <c r="E62" i="2823"/>
  <c r="F62" i="2823"/>
  <c r="G62" i="2823"/>
  <c r="C62" i="2823"/>
  <c r="G3" i="2823"/>
  <c r="G4" i="2823"/>
  <c r="G5" i="2823"/>
  <c r="G6" i="2823"/>
  <c r="G7" i="2823"/>
  <c r="G8" i="2823"/>
  <c r="G9" i="2823"/>
  <c r="G10" i="2823"/>
  <c r="G11" i="2823"/>
  <c r="G12" i="2823"/>
  <c r="G13" i="2823"/>
  <c r="G14" i="2823"/>
  <c r="G15" i="2823"/>
  <c r="G16" i="2823"/>
  <c r="G17" i="2823"/>
  <c r="G18" i="2823"/>
  <c r="G19" i="2823"/>
  <c r="G20" i="2823"/>
  <c r="G21" i="2823"/>
  <c r="G22" i="2823"/>
  <c r="G23" i="2823"/>
  <c r="G24" i="2823"/>
  <c r="G25" i="2823"/>
  <c r="G26" i="2823"/>
  <c r="G27" i="2823"/>
  <c r="G28" i="2823"/>
  <c r="G29" i="2823"/>
  <c r="G30" i="2823"/>
  <c r="G31" i="2823"/>
  <c r="G32" i="2823"/>
  <c r="G33" i="2823"/>
  <c r="G34" i="2823"/>
  <c r="G35" i="2823"/>
  <c r="G36" i="2823"/>
  <c r="G37" i="2823"/>
  <c r="G38" i="2823"/>
  <c r="G39" i="2823"/>
  <c r="G40" i="2823"/>
  <c r="G41" i="2823"/>
  <c r="G42" i="2823"/>
  <c r="G43" i="2823"/>
  <c r="G44" i="2823"/>
  <c r="G45" i="2823"/>
  <c r="G46" i="2823"/>
  <c r="G47" i="2823"/>
  <c r="G48" i="2823"/>
  <c r="G49" i="2823"/>
  <c r="G50" i="2823"/>
  <c r="G51" i="2823"/>
  <c r="G52" i="2823"/>
  <c r="G53" i="2823"/>
  <c r="G54" i="2823"/>
  <c r="G55" i="2823"/>
  <c r="G56" i="2823"/>
  <c r="G57" i="2823"/>
  <c r="G58" i="2823"/>
  <c r="F3" i="2823"/>
  <c r="F4" i="2823"/>
  <c r="F5" i="2823"/>
  <c r="F6" i="2823"/>
  <c r="F7" i="2823"/>
  <c r="F8" i="2823"/>
  <c r="F9" i="2823"/>
  <c r="F10" i="2823"/>
  <c r="F11" i="2823"/>
  <c r="F12" i="2823"/>
  <c r="F13" i="2823"/>
  <c r="F14" i="2823"/>
  <c r="F15" i="2823"/>
  <c r="F16" i="2823"/>
  <c r="F17" i="2823"/>
  <c r="F18" i="2823"/>
  <c r="F19" i="2823"/>
  <c r="F20" i="2823"/>
  <c r="F21" i="2823"/>
  <c r="F22" i="2823"/>
  <c r="F23" i="2823"/>
  <c r="F24" i="2823"/>
  <c r="F25" i="2823"/>
  <c r="F26" i="2823"/>
  <c r="F27" i="2823"/>
  <c r="F28" i="2823"/>
  <c r="F29" i="2823"/>
  <c r="F30" i="2823"/>
  <c r="F31" i="2823"/>
  <c r="F32" i="2823"/>
  <c r="F33" i="2823"/>
  <c r="F34" i="2823"/>
  <c r="F35" i="2823"/>
  <c r="F36" i="2823"/>
  <c r="F37" i="2823"/>
  <c r="F38" i="2823"/>
  <c r="F39" i="2823"/>
  <c r="F40" i="2823"/>
  <c r="F41" i="2823"/>
  <c r="F42" i="2823"/>
  <c r="F43" i="2823"/>
  <c r="F44" i="2823"/>
  <c r="F45" i="2823"/>
  <c r="F46" i="2823"/>
  <c r="F47" i="2823"/>
  <c r="F48" i="2823"/>
  <c r="F49" i="2823"/>
  <c r="F50" i="2823"/>
  <c r="F51" i="2823"/>
  <c r="F52" i="2823"/>
  <c r="F53" i="2823"/>
  <c r="F54" i="2823"/>
  <c r="F55" i="2823"/>
  <c r="F56" i="2823"/>
  <c r="F57" i="2823"/>
  <c r="F58" i="2823"/>
  <c r="E3" i="2823"/>
  <c r="E4" i="2823"/>
  <c r="E5" i="2823"/>
  <c r="E6" i="2823"/>
  <c r="E7" i="2823"/>
  <c r="E8" i="2823"/>
  <c r="E9" i="2823"/>
  <c r="E10" i="2823"/>
  <c r="E11" i="2823"/>
  <c r="E12" i="2823"/>
  <c r="E13" i="2823"/>
  <c r="E14" i="2823"/>
  <c r="E15" i="2823"/>
  <c r="E16" i="2823"/>
  <c r="E17" i="2823"/>
  <c r="E18" i="2823"/>
  <c r="E19" i="2823"/>
  <c r="E20" i="2823"/>
  <c r="E21" i="2823"/>
  <c r="E22" i="2823"/>
  <c r="E23" i="2823"/>
  <c r="E24" i="2823"/>
  <c r="E25" i="2823"/>
  <c r="E26" i="2823"/>
  <c r="E27" i="2823"/>
  <c r="E28" i="2823"/>
  <c r="E29" i="2823"/>
  <c r="E30" i="2823"/>
  <c r="E31" i="2823"/>
  <c r="E32" i="2823"/>
  <c r="E33" i="2823"/>
  <c r="E34" i="2823"/>
  <c r="E35" i="2823"/>
  <c r="E36" i="2823"/>
  <c r="E37" i="2823"/>
  <c r="E38" i="2823"/>
  <c r="E39" i="2823"/>
  <c r="E40" i="2823"/>
  <c r="E41" i="2823"/>
  <c r="E42" i="2823"/>
  <c r="E43" i="2823"/>
  <c r="E44" i="2823"/>
  <c r="E45" i="2823"/>
  <c r="E46" i="2823"/>
  <c r="E47" i="2823"/>
  <c r="E48" i="2823"/>
  <c r="E49" i="2823"/>
  <c r="E50" i="2823"/>
  <c r="E51" i="2823"/>
  <c r="E52" i="2823"/>
  <c r="E53" i="2823"/>
  <c r="E54" i="2823"/>
  <c r="E55" i="2823"/>
  <c r="E56" i="2823"/>
  <c r="E57" i="2823"/>
  <c r="E58" i="2823"/>
  <c r="D3" i="2823"/>
  <c r="D4" i="2823"/>
  <c r="D5" i="2823"/>
  <c r="D6" i="2823"/>
  <c r="D7" i="2823"/>
  <c r="D8" i="2823"/>
  <c r="D9" i="2823"/>
  <c r="D10" i="2823"/>
  <c r="D11" i="2823"/>
  <c r="D12" i="2823"/>
  <c r="D13" i="2823"/>
  <c r="D14" i="2823"/>
  <c r="D15" i="2823"/>
  <c r="D16" i="2823"/>
  <c r="D17" i="2823"/>
  <c r="D18" i="2823"/>
  <c r="D19" i="2823"/>
  <c r="D20" i="2823"/>
  <c r="D21" i="2823"/>
  <c r="D22" i="2823"/>
  <c r="D23" i="2823"/>
  <c r="D24" i="2823"/>
  <c r="D25" i="2823"/>
  <c r="D26" i="2823"/>
  <c r="D27" i="2823"/>
  <c r="D28" i="2823"/>
  <c r="D29" i="2823"/>
  <c r="D30" i="2823"/>
  <c r="D31" i="2823"/>
  <c r="D32" i="2823"/>
  <c r="D33" i="2823"/>
  <c r="D34" i="2823"/>
  <c r="D35" i="2823"/>
  <c r="D36" i="2823"/>
  <c r="D37" i="2823"/>
  <c r="D38" i="2823"/>
  <c r="D39" i="2823"/>
  <c r="D40" i="2823"/>
  <c r="D41" i="2823"/>
  <c r="D42" i="2823"/>
  <c r="D43" i="2823"/>
  <c r="D44" i="2823"/>
  <c r="D45" i="2823"/>
  <c r="D46" i="2823"/>
  <c r="D47" i="2823"/>
  <c r="D48" i="2823"/>
  <c r="D49" i="2823"/>
  <c r="D50" i="2823"/>
  <c r="D51" i="2823"/>
  <c r="D52" i="2823"/>
  <c r="D53" i="2823"/>
  <c r="D54" i="2823"/>
  <c r="D55" i="2823"/>
  <c r="D56" i="2823"/>
  <c r="D57" i="2823"/>
  <c r="D58" i="2823"/>
  <c r="C3" i="2823"/>
  <c r="C4" i="2823"/>
  <c r="C5" i="2823"/>
  <c r="C6" i="2823"/>
  <c r="C7" i="2823"/>
  <c r="C8" i="2823"/>
  <c r="C9" i="2823"/>
  <c r="C10" i="2823"/>
  <c r="C11" i="2823"/>
  <c r="C12" i="2823"/>
  <c r="C13" i="2823"/>
  <c r="C14" i="2823"/>
  <c r="C15" i="2823"/>
  <c r="C16" i="2823"/>
  <c r="C17" i="2823"/>
  <c r="C18" i="2823"/>
  <c r="C19" i="2823"/>
  <c r="C20" i="2823"/>
  <c r="C21" i="2823"/>
  <c r="C22" i="2823"/>
  <c r="C23" i="2823"/>
  <c r="C24" i="2823"/>
  <c r="C25" i="2823"/>
  <c r="C26" i="2823"/>
  <c r="C27" i="2823"/>
  <c r="C28" i="2823"/>
  <c r="C29" i="2823"/>
  <c r="C30" i="2823"/>
  <c r="C31" i="2823"/>
  <c r="C32" i="2823"/>
  <c r="C33" i="2823"/>
  <c r="C34" i="2823"/>
  <c r="C35" i="2823"/>
  <c r="C36" i="2823"/>
  <c r="C37" i="2823"/>
  <c r="C38" i="2823"/>
  <c r="C39" i="2823"/>
  <c r="C40" i="2823"/>
  <c r="C41" i="2823"/>
  <c r="C42" i="2823"/>
  <c r="C43" i="2823"/>
  <c r="C44" i="2823"/>
  <c r="C45" i="2823"/>
  <c r="C46" i="2823"/>
  <c r="C47" i="2823"/>
  <c r="C48" i="2823"/>
  <c r="C49" i="2823"/>
  <c r="C50" i="2823"/>
  <c r="C51" i="2823"/>
  <c r="C52" i="2823"/>
  <c r="C53" i="2823"/>
  <c r="C54" i="2823"/>
  <c r="C55" i="2823"/>
  <c r="C56" i="2823"/>
  <c r="C57" i="2823"/>
  <c r="C58" i="2823"/>
  <c r="N61" i="2823" a="1"/>
  <c r="N61" i="2823"/>
  <c r="N62" i="2823" a="1"/>
  <c r="N62" i="2823"/>
  <c r="N63" i="2823" a="1"/>
  <c r="N63" i="2823"/>
  <c r="N64" i="2823" a="1"/>
  <c r="N64" i="2823"/>
  <c r="N65" i="2823" a="1"/>
  <c r="N65" i="2823"/>
  <c r="N66" i="2823" a="1"/>
  <c r="N66" i="2823"/>
  <c r="N67" i="2823" a="1"/>
  <c r="N67" i="2823"/>
  <c r="N68" i="2823" a="1"/>
  <c r="N68" i="2823"/>
  <c r="N69" i="2823" a="1"/>
  <c r="N69" i="2823"/>
  <c r="N70" i="2823" a="1"/>
  <c r="N70" i="2823"/>
  <c r="N71" i="2823" a="1"/>
  <c r="N71" i="2823"/>
  <c r="N72" i="2823" a="1"/>
  <c r="N72" i="2823"/>
  <c r="N73" i="2823" a="1"/>
  <c r="N73" i="2823"/>
  <c r="N74" i="2823" a="1"/>
  <c r="N74" i="2823"/>
  <c r="N75" i="2823" a="1"/>
  <c r="N75" i="2823"/>
  <c r="N76" i="2823" a="1"/>
  <c r="N76" i="2823"/>
  <c r="N77" i="2823" a="1"/>
  <c r="N77" i="2823"/>
  <c r="N78" i="2823" a="1"/>
  <c r="N78" i="2823"/>
  <c r="N79" i="2823" a="1"/>
  <c r="N79" i="2823"/>
  <c r="N80" i="2823" a="1"/>
  <c r="N80" i="2823"/>
  <c r="N81" i="2823" a="1"/>
  <c r="N81" i="2823"/>
  <c r="N82" i="2823" a="1"/>
  <c r="N82" i="2823"/>
  <c r="N83" i="2823" a="1"/>
  <c r="N83" i="2823"/>
  <c r="N84" i="2823" a="1"/>
  <c r="N84" i="2823"/>
  <c r="N85" i="2823" a="1"/>
  <c r="N85" i="2823"/>
  <c r="N86" i="2823" a="1"/>
  <c r="N86" i="2823"/>
  <c r="N87" i="2823" a="1"/>
  <c r="N87" i="2823"/>
  <c r="N88" i="2823" a="1"/>
  <c r="N88" i="2823"/>
  <c r="N89" i="2823" a="1"/>
  <c r="N89" i="2823"/>
  <c r="N90" i="2823" a="1"/>
  <c r="N90" i="2823"/>
  <c r="N91" i="2823" a="1"/>
  <c r="N91" i="2823"/>
  <c r="N92" i="2823" a="1"/>
  <c r="N92" i="2823"/>
  <c r="N93" i="2823" a="1"/>
  <c r="N93" i="2823"/>
  <c r="N94" i="2823" a="1"/>
  <c r="N94" i="2823"/>
  <c r="N95" i="2823" a="1"/>
  <c r="N95" i="2823"/>
  <c r="N96" i="2823" a="1"/>
  <c r="N96" i="2823"/>
  <c r="N97" i="2823" a="1"/>
  <c r="N97" i="2823"/>
  <c r="N98" i="2823" a="1"/>
  <c r="N98" i="2823"/>
  <c r="N99" i="2823" a="1"/>
  <c r="N99" i="2823"/>
  <c r="N100" i="2823" a="1"/>
  <c r="N100" i="2823"/>
  <c r="N101" i="2823" a="1"/>
  <c r="N101" i="2823"/>
  <c r="N102" i="2823" a="1"/>
  <c r="N102" i="2823"/>
  <c r="N103" i="2823" a="1"/>
  <c r="N103" i="2823"/>
  <c r="N104" i="2823" a="1"/>
  <c r="N104" i="2823"/>
  <c r="N105" i="2823" a="1"/>
  <c r="N105" i="2823"/>
  <c r="N106" i="2823" a="1"/>
  <c r="N106" i="2823"/>
  <c r="N107" i="2823" a="1"/>
  <c r="N107" i="2823"/>
  <c r="N108" i="2823" a="1"/>
  <c r="N108" i="2823"/>
  <c r="N109" i="2823" a="1"/>
  <c r="N109" i="2823"/>
  <c r="N110" i="2823" a="1"/>
  <c r="N110" i="2823"/>
  <c r="N111" i="2823" a="1"/>
  <c r="N111" i="2823"/>
  <c r="N112" i="2823" a="1"/>
  <c r="N112" i="2823"/>
  <c r="N113" i="2823" a="1"/>
  <c r="N113" i="2823"/>
  <c r="N114" i="2823" a="1"/>
  <c r="N114" i="2823"/>
  <c r="N115" i="2823" a="1"/>
  <c r="N115" i="2823"/>
  <c r="N116" i="2823" a="1"/>
  <c r="N116" i="2823"/>
  <c r="N60" i="2823" a="1"/>
  <c r="N60" i="2823" s="1"/>
  <c r="C3" i="3007" l="1" a="1"/>
  <c r="C3" i="3007" s="1"/>
  <c r="K3" i="3007" s="1"/>
  <c r="Q5" i="2661"/>
  <c r="R5" i="2661"/>
  <c r="S5" i="2661"/>
  <c r="T5" i="2661"/>
  <c r="P5" i="2661"/>
  <c r="Q4" i="2661"/>
  <c r="R4" i="2661"/>
  <c r="S4" i="2661"/>
  <c r="T4" i="2661"/>
  <c r="P4" i="2661"/>
  <c r="Q3" i="2661"/>
  <c r="R3" i="2661"/>
  <c r="S3" i="2661"/>
  <c r="T3" i="2661"/>
  <c r="P3" i="2661"/>
  <c r="Q2" i="2661"/>
  <c r="R2" i="2661"/>
  <c r="S2" i="2661"/>
  <c r="T2" i="2661"/>
  <c r="P2" i="2661"/>
  <c r="M57" i="2661"/>
  <c r="L57" i="2661"/>
  <c r="K57" i="2661"/>
  <c r="J57" i="2661"/>
  <c r="I57" i="2661"/>
  <c r="M56" i="2661"/>
  <c r="L56" i="2661"/>
  <c r="K56" i="2661"/>
  <c r="J56" i="2661"/>
  <c r="I56" i="2661"/>
  <c r="M55" i="2661"/>
  <c r="L55" i="2661"/>
  <c r="K55" i="2661"/>
  <c r="J55" i="2661"/>
  <c r="I55" i="2661"/>
  <c r="M54" i="2661"/>
  <c r="L54" i="2661"/>
  <c r="K54" i="2661"/>
  <c r="J54" i="2661"/>
  <c r="I54" i="2661"/>
  <c r="M53" i="2661"/>
  <c r="L53" i="2661"/>
  <c r="K53" i="2661"/>
  <c r="J53" i="2661"/>
  <c r="I53" i="2661"/>
  <c r="M52" i="2661"/>
  <c r="L52" i="2661"/>
  <c r="K52" i="2661"/>
  <c r="J52" i="2661"/>
  <c r="I52" i="2661"/>
  <c r="M51" i="2661"/>
  <c r="L51" i="2661"/>
  <c r="K51" i="2661"/>
  <c r="J51" i="2661"/>
  <c r="I51" i="2661"/>
  <c r="M50" i="2661"/>
  <c r="L50" i="2661"/>
  <c r="K50" i="2661"/>
  <c r="J50" i="2661"/>
  <c r="I50" i="2661"/>
  <c r="M49" i="2661"/>
  <c r="L49" i="2661"/>
  <c r="K49" i="2661"/>
  <c r="J49" i="2661"/>
  <c r="I49" i="2661"/>
  <c r="M48" i="2661"/>
  <c r="L48" i="2661"/>
  <c r="K48" i="2661"/>
  <c r="J48" i="2661"/>
  <c r="I48" i="2661"/>
  <c r="M47" i="2661"/>
  <c r="L47" i="2661"/>
  <c r="K47" i="2661"/>
  <c r="J47" i="2661"/>
  <c r="I47" i="2661"/>
  <c r="M46" i="2661"/>
  <c r="L46" i="2661"/>
  <c r="K46" i="2661"/>
  <c r="J46" i="2661"/>
  <c r="I46" i="2661"/>
  <c r="M45" i="2661"/>
  <c r="L45" i="2661"/>
  <c r="K45" i="2661"/>
  <c r="J45" i="2661"/>
  <c r="I45" i="2661"/>
  <c r="M44" i="2661"/>
  <c r="L44" i="2661"/>
  <c r="K44" i="2661"/>
  <c r="J44" i="2661"/>
  <c r="I44" i="2661"/>
  <c r="M43" i="2661"/>
  <c r="L43" i="2661"/>
  <c r="K43" i="2661"/>
  <c r="J43" i="2661"/>
  <c r="I43" i="2661"/>
  <c r="M42" i="2661"/>
  <c r="L42" i="2661"/>
  <c r="K42" i="2661"/>
  <c r="J42" i="2661"/>
  <c r="I42" i="2661"/>
  <c r="M41" i="2661"/>
  <c r="L41" i="2661"/>
  <c r="K41" i="2661"/>
  <c r="J41" i="2661"/>
  <c r="I41" i="2661"/>
  <c r="M40" i="2661"/>
  <c r="L40" i="2661"/>
  <c r="K40" i="2661"/>
  <c r="J40" i="2661"/>
  <c r="I40" i="2661"/>
  <c r="M39" i="2661"/>
  <c r="L39" i="2661"/>
  <c r="K39" i="2661"/>
  <c r="J39" i="2661"/>
  <c r="I39" i="2661"/>
  <c r="M38" i="2661"/>
  <c r="L38" i="2661"/>
  <c r="K38" i="2661"/>
  <c r="J38" i="2661"/>
  <c r="I38" i="2661"/>
  <c r="M37" i="2661"/>
  <c r="L37" i="2661"/>
  <c r="K37" i="2661"/>
  <c r="J37" i="2661"/>
  <c r="I37" i="2661"/>
  <c r="M36" i="2661"/>
  <c r="L36" i="2661"/>
  <c r="K36" i="2661"/>
  <c r="J36" i="2661"/>
  <c r="I36" i="2661"/>
  <c r="M35" i="2661"/>
  <c r="L35" i="2661"/>
  <c r="K35" i="2661"/>
  <c r="J35" i="2661"/>
  <c r="I35" i="2661"/>
  <c r="M34" i="2661"/>
  <c r="L34" i="2661"/>
  <c r="K34" i="2661"/>
  <c r="J34" i="2661"/>
  <c r="I34" i="2661"/>
  <c r="M33" i="2661"/>
  <c r="L33" i="2661"/>
  <c r="K33" i="2661"/>
  <c r="J33" i="2661"/>
  <c r="I33" i="2661"/>
  <c r="M32" i="2661"/>
  <c r="L32" i="2661"/>
  <c r="K32" i="2661"/>
  <c r="J32" i="2661"/>
  <c r="I32" i="2661"/>
  <c r="M31" i="2661"/>
  <c r="L31" i="2661"/>
  <c r="K31" i="2661"/>
  <c r="J31" i="2661"/>
  <c r="I31" i="2661"/>
  <c r="M30" i="2661"/>
  <c r="L30" i="2661"/>
  <c r="K30" i="2661"/>
  <c r="J30" i="2661"/>
  <c r="I30" i="2661"/>
  <c r="M29" i="2661"/>
  <c r="L29" i="2661"/>
  <c r="K29" i="2661"/>
  <c r="J29" i="2661"/>
  <c r="I29" i="2661"/>
  <c r="M28" i="2661"/>
  <c r="L28" i="2661"/>
  <c r="K28" i="2661"/>
  <c r="J28" i="2661"/>
  <c r="I28" i="2661"/>
  <c r="M27" i="2661"/>
  <c r="L27" i="2661"/>
  <c r="K27" i="2661"/>
  <c r="J27" i="2661"/>
  <c r="I27" i="2661"/>
  <c r="M26" i="2661"/>
  <c r="L26" i="2661"/>
  <c r="K26" i="2661"/>
  <c r="J26" i="2661"/>
  <c r="I26" i="2661"/>
  <c r="M25" i="2661"/>
  <c r="L25" i="2661"/>
  <c r="K25" i="2661"/>
  <c r="J25" i="2661"/>
  <c r="I25" i="2661"/>
  <c r="M24" i="2661"/>
  <c r="L24" i="2661"/>
  <c r="K24" i="2661"/>
  <c r="J24" i="2661"/>
  <c r="I24" i="2661"/>
  <c r="M23" i="2661"/>
  <c r="L23" i="2661"/>
  <c r="K23" i="2661"/>
  <c r="J23" i="2661"/>
  <c r="I23" i="2661"/>
  <c r="M22" i="2661"/>
  <c r="L22" i="2661"/>
  <c r="K22" i="2661"/>
  <c r="J22" i="2661"/>
  <c r="I22" i="2661"/>
  <c r="M21" i="2661"/>
  <c r="L21" i="2661"/>
  <c r="K21" i="2661"/>
  <c r="J21" i="2661"/>
  <c r="I21" i="2661"/>
  <c r="M20" i="2661"/>
  <c r="L20" i="2661"/>
  <c r="K20" i="2661"/>
  <c r="J20" i="2661"/>
  <c r="I20" i="2661"/>
  <c r="M19" i="2661"/>
  <c r="L19" i="2661"/>
  <c r="K19" i="2661"/>
  <c r="J19" i="2661"/>
  <c r="I19" i="2661"/>
  <c r="M18" i="2661"/>
  <c r="L18" i="2661"/>
  <c r="K18" i="2661"/>
  <c r="J18" i="2661"/>
  <c r="I18" i="2661"/>
  <c r="M17" i="2661"/>
  <c r="L17" i="2661"/>
  <c r="K17" i="2661"/>
  <c r="J17" i="2661"/>
  <c r="I17" i="2661"/>
  <c r="M16" i="2661"/>
  <c r="L16" i="2661"/>
  <c r="K16" i="2661"/>
  <c r="J16" i="2661"/>
  <c r="I16" i="2661"/>
  <c r="M15" i="2661"/>
  <c r="L15" i="2661"/>
  <c r="K15" i="2661"/>
  <c r="J15" i="2661"/>
  <c r="I15" i="2661"/>
  <c r="M14" i="2661"/>
  <c r="L14" i="2661"/>
  <c r="K14" i="2661"/>
  <c r="J14" i="2661"/>
  <c r="I14" i="2661"/>
  <c r="M13" i="2661"/>
  <c r="L13" i="2661"/>
  <c r="K13" i="2661"/>
  <c r="J13" i="2661"/>
  <c r="I13" i="2661"/>
  <c r="M12" i="2661"/>
  <c r="L12" i="2661"/>
  <c r="K12" i="2661"/>
  <c r="J12" i="2661"/>
  <c r="I12" i="2661"/>
  <c r="M11" i="2661"/>
  <c r="L11" i="2661"/>
  <c r="K11" i="2661"/>
  <c r="J11" i="2661"/>
  <c r="I11" i="2661"/>
  <c r="M10" i="2661"/>
  <c r="L10" i="2661"/>
  <c r="K10" i="2661"/>
  <c r="J10" i="2661"/>
  <c r="I10" i="2661"/>
  <c r="M9" i="2661"/>
  <c r="L9" i="2661"/>
  <c r="K9" i="2661"/>
  <c r="J9" i="2661"/>
  <c r="I9" i="2661"/>
  <c r="M8" i="2661"/>
  <c r="L8" i="2661"/>
  <c r="K8" i="2661"/>
  <c r="J8" i="2661"/>
  <c r="I8" i="2661"/>
  <c r="M7" i="2661"/>
  <c r="L7" i="2661"/>
  <c r="K7" i="2661"/>
  <c r="J7" i="2661"/>
  <c r="I7" i="2661"/>
  <c r="M6" i="2661"/>
  <c r="L6" i="2661"/>
  <c r="K6" i="2661"/>
  <c r="J6" i="2661"/>
  <c r="I6" i="2661"/>
  <c r="M5" i="2661"/>
  <c r="L5" i="2661"/>
  <c r="K5" i="2661"/>
  <c r="J5" i="2661"/>
  <c r="I5" i="2661"/>
  <c r="M4" i="2661"/>
  <c r="L4" i="2661"/>
  <c r="K4" i="2661"/>
  <c r="J4" i="2661"/>
  <c r="I4" i="2661"/>
  <c r="J3" i="2661"/>
  <c r="K3" i="2661"/>
  <c r="L3" i="2661"/>
  <c r="M3" i="2661"/>
  <c r="I3" i="2661"/>
  <c r="P19" i="2661" a="1"/>
  <c r="P9" i="2661" a="1"/>
  <c r="O39" i="3007" l="1"/>
  <c r="M6" i="3007"/>
  <c r="N13" i="3007"/>
  <c r="N19" i="3007"/>
  <c r="K28" i="3007"/>
  <c r="O32" i="3007"/>
  <c r="N37" i="3007"/>
  <c r="K40" i="3007"/>
  <c r="M42" i="3007"/>
  <c r="N43" i="3007"/>
  <c r="O44" i="3007"/>
  <c r="K46" i="3007"/>
  <c r="L47" i="3007"/>
  <c r="L53" i="3007"/>
  <c r="M54" i="3007"/>
  <c r="N55" i="3007"/>
  <c r="O56" i="3007"/>
  <c r="K58" i="3007"/>
  <c r="O9" i="3007"/>
  <c r="O15" i="3007"/>
  <c r="M19" i="3007"/>
  <c r="L24" i="3007"/>
  <c r="L30" i="3007"/>
  <c r="M37" i="3007"/>
  <c r="O45" i="3007"/>
  <c r="L54" i="3007"/>
  <c r="O8" i="3007"/>
  <c r="O14" i="3007"/>
  <c r="K22" i="3007"/>
  <c r="O26" i="3007"/>
  <c r="N31" i="3007"/>
  <c r="K34" i="3007"/>
  <c r="M36" i="3007"/>
  <c r="O38" i="3007"/>
  <c r="L41" i="3007"/>
  <c r="N49" i="3007"/>
  <c r="L4" i="3007"/>
  <c r="M5" i="3007"/>
  <c r="N6" i="3007"/>
  <c r="O7" i="3007"/>
  <c r="K9" i="3007"/>
  <c r="L10" i="3007"/>
  <c r="M11" i="3007"/>
  <c r="N12" i="3007"/>
  <c r="O13" i="3007"/>
  <c r="K15" i="3007"/>
  <c r="L16" i="3007"/>
  <c r="M17" i="3007"/>
  <c r="N18" i="3007"/>
  <c r="O19" i="3007"/>
  <c r="K21" i="3007"/>
  <c r="L22" i="3007"/>
  <c r="M23" i="3007"/>
  <c r="N24" i="3007"/>
  <c r="O25" i="3007"/>
  <c r="K27" i="3007"/>
  <c r="L28" i="3007"/>
  <c r="M29" i="3007"/>
  <c r="N30" i="3007"/>
  <c r="O31" i="3007"/>
  <c r="K33" i="3007"/>
  <c r="L34" i="3007"/>
  <c r="M35" i="3007"/>
  <c r="N36" i="3007"/>
  <c r="O37" i="3007"/>
  <c r="K39" i="3007"/>
  <c r="L40" i="3007"/>
  <c r="M41" i="3007"/>
  <c r="N42" i="3007"/>
  <c r="O43" i="3007"/>
  <c r="K45" i="3007"/>
  <c r="L46" i="3007"/>
  <c r="M47" i="3007"/>
  <c r="N48" i="3007"/>
  <c r="O49" i="3007"/>
  <c r="K51" i="3007"/>
  <c r="L52" i="3007"/>
  <c r="M53" i="3007"/>
  <c r="N54" i="3007"/>
  <c r="O55" i="3007"/>
  <c r="K57" i="3007"/>
  <c r="L58" i="3007"/>
  <c r="M7" i="3007"/>
  <c r="M13" i="3007"/>
  <c r="L18" i="3007"/>
  <c r="K23" i="3007"/>
  <c r="N26" i="3007"/>
  <c r="K29" i="3007"/>
  <c r="O33" i="3007"/>
  <c r="N38" i="3007"/>
  <c r="L42" i="3007"/>
  <c r="N44" i="3007"/>
  <c r="M49" i="3007"/>
  <c r="N56" i="3007"/>
  <c r="N7" i="3007"/>
  <c r="M12" i="3007"/>
  <c r="L17" i="3007"/>
  <c r="N25" i="3007"/>
  <c r="K52" i="3007"/>
  <c r="M4" i="3007"/>
  <c r="N5" i="3007"/>
  <c r="O6" i="3007"/>
  <c r="K8" i="3007"/>
  <c r="L9" i="3007"/>
  <c r="M10" i="3007"/>
  <c r="N11" i="3007"/>
  <c r="O12" i="3007"/>
  <c r="K14" i="3007"/>
  <c r="L15" i="3007"/>
  <c r="M16" i="3007"/>
  <c r="N17" i="3007"/>
  <c r="O18" i="3007"/>
  <c r="K20" i="3007"/>
  <c r="L21" i="3007"/>
  <c r="M22" i="3007"/>
  <c r="N23" i="3007"/>
  <c r="O24" i="3007"/>
  <c r="K26" i="3007"/>
  <c r="L27" i="3007"/>
  <c r="M28" i="3007"/>
  <c r="N29" i="3007"/>
  <c r="O30" i="3007"/>
  <c r="K32" i="3007"/>
  <c r="L33" i="3007"/>
  <c r="M34" i="3007"/>
  <c r="N35" i="3007"/>
  <c r="O36" i="3007"/>
  <c r="K38" i="3007"/>
  <c r="L39" i="3007"/>
  <c r="M40" i="3007"/>
  <c r="N41" i="3007"/>
  <c r="O42" i="3007"/>
  <c r="K44" i="3007"/>
  <c r="L45" i="3007"/>
  <c r="M46" i="3007"/>
  <c r="N47" i="3007"/>
  <c r="O48" i="3007"/>
  <c r="K50" i="3007"/>
  <c r="L51" i="3007"/>
  <c r="M52" i="3007"/>
  <c r="N53" i="3007"/>
  <c r="O54" i="3007"/>
  <c r="K56" i="3007"/>
  <c r="L57" i="3007"/>
  <c r="M58" i="3007"/>
  <c r="L6" i="3007"/>
  <c r="K11" i="3007"/>
  <c r="N14" i="3007"/>
  <c r="O21" i="3007"/>
  <c r="O27" i="3007"/>
  <c r="N32" i="3007"/>
  <c r="K35" i="3007"/>
  <c r="K41" i="3007"/>
  <c r="L48" i="3007"/>
  <c r="N50" i="3007"/>
  <c r="O51" i="3007"/>
  <c r="K53" i="3007"/>
  <c r="M55" i="3007"/>
  <c r="K4" i="3007"/>
  <c r="L11" i="3007"/>
  <c r="O20" i="3007"/>
  <c r="L29" i="3007"/>
  <c r="L35" i="3007"/>
  <c r="O50" i="3007"/>
  <c r="N4" i="3007"/>
  <c r="O5" i="3007"/>
  <c r="K7" i="3007"/>
  <c r="L8" i="3007"/>
  <c r="M9" i="3007"/>
  <c r="N10" i="3007"/>
  <c r="O11" i="3007"/>
  <c r="K13" i="3007"/>
  <c r="L14" i="3007"/>
  <c r="M15" i="3007"/>
  <c r="N16" i="3007"/>
  <c r="O17" i="3007"/>
  <c r="K19" i="3007"/>
  <c r="L20" i="3007"/>
  <c r="M21" i="3007"/>
  <c r="N22" i="3007"/>
  <c r="O23" i="3007"/>
  <c r="K25" i="3007"/>
  <c r="L26" i="3007"/>
  <c r="M27" i="3007"/>
  <c r="N28" i="3007"/>
  <c r="O29" i="3007"/>
  <c r="K31" i="3007"/>
  <c r="L32" i="3007"/>
  <c r="M33" i="3007"/>
  <c r="N34" i="3007"/>
  <c r="O35" i="3007"/>
  <c r="K37" i="3007"/>
  <c r="L38" i="3007"/>
  <c r="M39" i="3007"/>
  <c r="N40" i="3007"/>
  <c r="O41" i="3007"/>
  <c r="K43" i="3007"/>
  <c r="L44" i="3007"/>
  <c r="M45" i="3007"/>
  <c r="N46" i="3007"/>
  <c r="O47" i="3007"/>
  <c r="K49" i="3007"/>
  <c r="L50" i="3007"/>
  <c r="M51" i="3007"/>
  <c r="N52" i="3007"/>
  <c r="O53" i="3007"/>
  <c r="K55" i="3007"/>
  <c r="L56" i="3007"/>
  <c r="M57" i="3007"/>
  <c r="N58" i="3007"/>
  <c r="K5" i="3007"/>
  <c r="N8" i="3007"/>
  <c r="L12" i="3007"/>
  <c r="K17" i="3007"/>
  <c r="N20" i="3007"/>
  <c r="M25" i="3007"/>
  <c r="M31" i="3007"/>
  <c r="L36" i="3007"/>
  <c r="M43" i="3007"/>
  <c r="K47" i="3007"/>
  <c r="O57" i="3007"/>
  <c r="L5" i="3007"/>
  <c r="K10" i="3007"/>
  <c r="K16" i="3007"/>
  <c r="M18" i="3007"/>
  <c r="L23" i="3007"/>
  <c r="M24" i="3007"/>
  <c r="M30" i="3007"/>
  <c r="M48" i="3007"/>
  <c r="O4" i="3007"/>
  <c r="K6" i="3007"/>
  <c r="L7" i="3007"/>
  <c r="M8" i="3007"/>
  <c r="N9" i="3007"/>
  <c r="O10" i="3007"/>
  <c r="K12" i="3007"/>
  <c r="L13" i="3007"/>
  <c r="M14" i="3007"/>
  <c r="N15" i="3007"/>
  <c r="O16" i="3007"/>
  <c r="K18" i="3007"/>
  <c r="L19" i="3007"/>
  <c r="M20" i="3007"/>
  <c r="N21" i="3007"/>
  <c r="O22" i="3007"/>
  <c r="K24" i="3007"/>
  <c r="L25" i="3007"/>
  <c r="M26" i="3007"/>
  <c r="N27" i="3007"/>
  <c r="O28" i="3007"/>
  <c r="K30" i="3007"/>
  <c r="L31" i="3007"/>
  <c r="M32" i="3007"/>
  <c r="N33" i="3007"/>
  <c r="O34" i="3007"/>
  <c r="K36" i="3007"/>
  <c r="L37" i="3007"/>
  <c r="M38" i="3007"/>
  <c r="N39" i="3007"/>
  <c r="O40" i="3007"/>
  <c r="K42" i="3007"/>
  <c r="L43" i="3007"/>
  <c r="M44" i="3007"/>
  <c r="N45" i="3007"/>
  <c r="O46" i="3007"/>
  <c r="K48" i="3007"/>
  <c r="L49" i="3007"/>
  <c r="M50" i="3007"/>
  <c r="N51" i="3007"/>
  <c r="O52" i="3007"/>
  <c r="K54" i="3007"/>
  <c r="L55" i="3007"/>
  <c r="M56" i="3007"/>
  <c r="N57" i="3007"/>
  <c r="O58" i="3007"/>
  <c r="L3" i="3007"/>
  <c r="M3" i="3007"/>
  <c r="N3" i="3007"/>
  <c r="O3" i="3007"/>
  <c r="P19" i="2661"/>
  <c r="P9" i="2661"/>
  <c r="P29" i="2661" a="1"/>
  <c r="Q50" i="3007" l="1"/>
  <c r="Q21" i="3007"/>
  <c r="Q15" i="3007"/>
  <c r="Q25" i="3007"/>
  <c r="Q47" i="3007"/>
  <c r="Q35" i="3007"/>
  <c r="Q28" i="3007"/>
  <c r="Q36" i="3007"/>
  <c r="Q6" i="3007"/>
  <c r="Q53" i="3007"/>
  <c r="Q39" i="3007"/>
  <c r="Q31" i="3007"/>
  <c r="Q54" i="3007"/>
  <c r="Q57" i="3007"/>
  <c r="Q40" i="3007"/>
  <c r="Q41" i="3007"/>
  <c r="Q48" i="3007"/>
  <c r="Q27" i="3007"/>
  <c r="Q12" i="3007"/>
  <c r="Q42" i="3007"/>
  <c r="Q4" i="3007"/>
  <c r="Q58" i="3007"/>
  <c r="Q34" i="3007"/>
  <c r="Q20" i="3007"/>
  <c r="Q33" i="3007"/>
  <c r="Q17" i="3007"/>
  <c r="Q49" i="3007"/>
  <c r="Q14" i="3007"/>
  <c r="Q10" i="3007"/>
  <c r="Q5" i="3007"/>
  <c r="Q18" i="3007"/>
  <c r="Q23" i="3007"/>
  <c r="Q26" i="3007"/>
  <c r="Q29" i="3007"/>
  <c r="Q37" i="3007"/>
  <c r="Q56" i="3007"/>
  <c r="Q11" i="3007"/>
  <c r="Q16" i="3007"/>
  <c r="Q46" i="3007"/>
  <c r="Q7" i="3007"/>
  <c r="Q30" i="3007"/>
  <c r="Q52" i="3007"/>
  <c r="Q19" i="3007"/>
  <c r="Q32" i="3007"/>
  <c r="Q44" i="3007"/>
  <c r="Q22" i="3007"/>
  <c r="Q24" i="3007"/>
  <c r="Q55" i="3007"/>
  <c r="Q13" i="3007"/>
  <c r="Q45" i="3007"/>
  <c r="Q3" i="3007"/>
  <c r="Q43" i="3007"/>
  <c r="Q51" i="3007"/>
  <c r="Q9" i="3007"/>
  <c r="Q8" i="3007"/>
  <c r="Q38" i="3007"/>
  <c r="P7" i="3007"/>
  <c r="P56" i="3007"/>
  <c r="P43" i="3007"/>
  <c r="P36" i="3007"/>
  <c r="P47" i="3007"/>
  <c r="P18" i="3007"/>
  <c r="P54" i="3007"/>
  <c r="P3" i="3007"/>
  <c r="P24" i="3007"/>
  <c r="P37" i="3007"/>
  <c r="P50" i="3007"/>
  <c r="P14" i="3007"/>
  <c r="P39" i="3007"/>
  <c r="P46" i="3007"/>
  <c r="P45" i="3007"/>
  <c r="P22" i="3007"/>
  <c r="P13" i="3007"/>
  <c r="P51" i="3007"/>
  <c r="P15" i="3007"/>
  <c r="P20" i="3007"/>
  <c r="P28" i="3007"/>
  <c r="P17" i="3007"/>
  <c r="P49" i="3007"/>
  <c r="P26" i="3007"/>
  <c r="P29" i="3007"/>
  <c r="P42" i="3007"/>
  <c r="P6" i="3007"/>
  <c r="P55" i="3007"/>
  <c r="P19" i="3007"/>
  <c r="P4" i="3007"/>
  <c r="P41" i="3007"/>
  <c r="P11" i="3007"/>
  <c r="P32" i="3007"/>
  <c r="P52" i="3007"/>
  <c r="P57" i="3007"/>
  <c r="P21" i="3007"/>
  <c r="P30" i="3007"/>
  <c r="P48" i="3007"/>
  <c r="P12" i="3007"/>
  <c r="P16" i="3007"/>
  <c r="P25" i="3007"/>
  <c r="P35" i="3007"/>
  <c r="P38" i="3007"/>
  <c r="P23" i="3007"/>
  <c r="P27" i="3007"/>
  <c r="P34" i="3007"/>
  <c r="P40" i="3007"/>
  <c r="P58" i="3007"/>
  <c r="P9" i="3007"/>
  <c r="P10" i="3007"/>
  <c r="P5" i="3007"/>
  <c r="P31" i="3007"/>
  <c r="P53" i="3007"/>
  <c r="P44" i="3007"/>
  <c r="P8" i="3007"/>
  <c r="P33" i="3007"/>
  <c r="P29" i="2661"/>
  <c r="R3" i="3007" l="1"/>
  <c r="S3" i="3007" s="1"/>
  <c r="T3" i="3007" s="1"/>
  <c r="R43" i="3007"/>
  <c r="S43" i="3007" s="1"/>
  <c r="T43" i="3007" s="1"/>
  <c r="R57" i="3007"/>
  <c r="S57" i="3007" s="1"/>
  <c r="T57" i="3007" s="1"/>
  <c r="R25" i="3007"/>
  <c r="S25" i="3007" s="1"/>
  <c r="T25" i="3007" s="1"/>
  <c r="R58" i="3007"/>
  <c r="S58" i="3007" s="1"/>
  <c r="T58" i="3007" s="1"/>
  <c r="R17" i="3007"/>
  <c r="S17" i="3007" s="1"/>
  <c r="T17" i="3007" s="1"/>
  <c r="R37" i="3007"/>
  <c r="S37" i="3007" s="1"/>
  <c r="T37" i="3007" s="1"/>
  <c r="R32" i="3007"/>
  <c r="S32" i="3007" s="1"/>
  <c r="T32" i="3007" s="1"/>
  <c r="R49" i="3007"/>
  <c r="S49" i="3007" s="1"/>
  <c r="T49" i="3007" s="1"/>
  <c r="R30" i="3007"/>
  <c r="S30" i="3007" s="1"/>
  <c r="T30" i="3007" s="1"/>
  <c r="R55" i="3007"/>
  <c r="S55" i="3007" s="1"/>
  <c r="T55" i="3007" s="1"/>
  <c r="R33" i="3007"/>
  <c r="S33" i="3007" s="1"/>
  <c r="T33" i="3007" s="1"/>
  <c r="R35" i="3007"/>
  <c r="S35" i="3007" s="1"/>
  <c r="T35" i="3007" s="1"/>
  <c r="R20" i="3007"/>
  <c r="S20" i="3007" s="1"/>
  <c r="T20" i="3007" s="1"/>
  <c r="R27" i="3007"/>
  <c r="S27" i="3007" s="1"/>
  <c r="T27" i="3007" s="1"/>
  <c r="R24" i="3007"/>
  <c r="S24" i="3007" s="1"/>
  <c r="T24" i="3007" s="1"/>
  <c r="R21" i="3007"/>
  <c r="S21" i="3007" s="1"/>
  <c r="T21" i="3007" s="1"/>
  <c r="R19" i="3007"/>
  <c r="S19" i="3007" s="1"/>
  <c r="T19" i="3007" s="1"/>
  <c r="R23" i="3007"/>
  <c r="S23" i="3007" s="1"/>
  <c r="T23" i="3007" s="1"/>
  <c r="R13" i="3007"/>
  <c r="S13" i="3007" s="1"/>
  <c r="T13" i="3007" s="1"/>
  <c r="R16" i="3007"/>
  <c r="S16" i="3007" s="1"/>
  <c r="T16" i="3007" s="1"/>
  <c r="R52" i="3007"/>
  <c r="S52" i="3007" s="1"/>
  <c r="T52" i="3007" s="1"/>
  <c r="R38" i="3007"/>
  <c r="S38" i="3007" s="1"/>
  <c r="T38" i="3007" s="1"/>
  <c r="R56" i="3007"/>
  <c r="S56" i="3007" s="1"/>
  <c r="T56" i="3007" s="1"/>
  <c r="R29" i="3007"/>
  <c r="S29" i="3007" s="1"/>
  <c r="T29" i="3007" s="1"/>
  <c r="R44" i="3007"/>
  <c r="S44" i="3007" s="1"/>
  <c r="T44" i="3007" s="1"/>
  <c r="R41" i="3007"/>
  <c r="S41" i="3007" s="1"/>
  <c r="T41" i="3007" s="1"/>
  <c r="R5" i="3007"/>
  <c r="S5" i="3007" s="1"/>
  <c r="T5" i="3007" s="1"/>
  <c r="R15" i="3007"/>
  <c r="S15" i="3007" s="1"/>
  <c r="T15" i="3007" s="1"/>
  <c r="R46" i="3007"/>
  <c r="S46" i="3007" s="1"/>
  <c r="T46" i="3007" s="1"/>
  <c r="R9" i="3007"/>
  <c r="S9" i="3007" s="1"/>
  <c r="T9" i="3007" s="1"/>
  <c r="R10" i="3007"/>
  <c r="S10" i="3007" s="1"/>
  <c r="T10" i="3007" s="1"/>
  <c r="R12" i="3007"/>
  <c r="S12" i="3007" s="1"/>
  <c r="T12" i="3007" s="1"/>
  <c r="R4" i="3007"/>
  <c r="S4" i="3007" s="1"/>
  <c r="T4" i="3007" s="1"/>
  <c r="R18" i="3007"/>
  <c r="S18" i="3007" s="1"/>
  <c r="T18" i="3007" s="1"/>
  <c r="R50" i="3007"/>
  <c r="S50" i="3007" s="1"/>
  <c r="T50" i="3007" s="1"/>
  <c r="R6" i="3007"/>
  <c r="S6" i="3007" s="1"/>
  <c r="T6" i="3007" s="1"/>
  <c r="R28" i="3007"/>
  <c r="S28" i="3007" s="1"/>
  <c r="T28" i="3007" s="1"/>
  <c r="R51" i="3007"/>
  <c r="S51" i="3007" s="1"/>
  <c r="T51" i="3007" s="1"/>
  <c r="R26" i="3007"/>
  <c r="S26" i="3007" s="1"/>
  <c r="T26" i="3007" s="1"/>
  <c r="R14" i="3007"/>
  <c r="S14" i="3007" s="1"/>
  <c r="T14" i="3007" s="1"/>
  <c r="R36" i="3007"/>
  <c r="S36" i="3007" s="1"/>
  <c r="T36" i="3007" s="1"/>
  <c r="R48" i="3007"/>
  <c r="S48" i="3007" s="1"/>
  <c r="T48" i="3007" s="1"/>
  <c r="R53" i="3007"/>
  <c r="S53" i="3007" s="1"/>
  <c r="T53" i="3007" s="1"/>
  <c r="R39" i="3007"/>
  <c r="S39" i="3007" s="1"/>
  <c r="T39" i="3007" s="1"/>
  <c r="R31" i="3007"/>
  <c r="S31" i="3007" s="1"/>
  <c r="T31" i="3007" s="1"/>
  <c r="R34" i="3007"/>
  <c r="S34" i="3007" s="1"/>
  <c r="T34" i="3007" s="1"/>
  <c r="R54" i="3007"/>
  <c r="S54" i="3007" s="1"/>
  <c r="T54" i="3007" s="1"/>
  <c r="R45" i="3007"/>
  <c r="S45" i="3007" s="1"/>
  <c r="T45" i="3007" s="1"/>
  <c r="R11" i="3007"/>
  <c r="S11" i="3007" s="1"/>
  <c r="T11" i="3007" s="1"/>
  <c r="R42" i="3007"/>
  <c r="S42" i="3007" s="1"/>
  <c r="T42" i="3007" s="1"/>
  <c r="R40" i="3007"/>
  <c r="S40" i="3007" s="1"/>
  <c r="T40" i="3007" s="1"/>
  <c r="R47" i="3007"/>
  <c r="S47" i="3007" s="1"/>
  <c r="T47" i="3007" s="1"/>
  <c r="R7" i="3007"/>
  <c r="S7" i="3007" s="1"/>
  <c r="T7" i="3007" s="1"/>
  <c r="R22" i="3007"/>
  <c r="S22" i="3007" s="1"/>
  <c r="T22" i="3007" s="1"/>
  <c r="R8" i="3007"/>
  <c r="S8" i="3007" s="1"/>
  <c r="T8" i="300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蔣伊婷</author>
  </authors>
  <commentList>
    <comment ref="U2" authorId="0" shapeId="0" xr:uid="{260582F1-A02D-4C46-BD59-7411AF7937DA}">
      <text>
        <r>
          <rPr>
            <b/>
            <sz val="9"/>
            <color rgb="FF000000"/>
            <rFont val="細明體"/>
            <family val="1"/>
            <charset val="136"/>
          </rPr>
          <t>蔣伊婷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細明體"/>
            <family val="1"/>
            <charset val="136"/>
          </rPr>
          <t>此為美國</t>
        </r>
        <r>
          <rPr>
            <sz val="9"/>
            <color rgb="FF000000"/>
            <rFont val="Tahoma"/>
            <family val="2"/>
          </rPr>
          <t>10</t>
        </r>
        <r>
          <rPr>
            <sz val="9"/>
            <color rgb="FF000000"/>
            <rFont val="細明體"/>
            <family val="1"/>
            <charset val="136"/>
          </rPr>
          <t>年期公債殖利率</t>
        </r>
        <r>
          <rPr>
            <sz val="9"/>
            <color rgb="FF000000"/>
            <rFont val="細明體"/>
            <family val="1"/>
            <charset val="136"/>
          </rPr>
          <t>(</t>
        </r>
        <r>
          <rPr>
            <sz val="9"/>
            <color rgb="FF000000"/>
            <rFont val="細明體"/>
            <family val="1"/>
            <charset val="136"/>
          </rPr>
          <t>作為無風險利率</t>
        </r>
        <r>
          <rPr>
            <sz val="9"/>
            <color rgb="FF000000"/>
            <rFont val="細明體"/>
            <family val="1"/>
            <charset val="136"/>
          </rPr>
          <t>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47547-B67E-4F55-A9E5-495FCF6630AD}" keepAlive="1" name="連線" type="5" refreshedVersion="0" background="1">
    <dbPr connection="Provider=Microsoft.Mashup.OleDb.1;Data Source=$Workbook$;Location=&quot;Table 3&quot;;Extended Properties=&quot;&quot;" commandType="0"/>
  </connection>
  <connection id="2" xr16:uid="{29307C06-7816-4F91-9A03-3E37A57675E8}" keepAlive="1" name="連線1" type="5" refreshedVersion="0" background="1">
    <dbPr connection="Provider=Microsoft.Mashup.OleDb.1;Data Source=$Workbook$;Location=&quot;Table 4&quot;;Extended Properties=&quot;&quot;" commandType="0"/>
  </connection>
  <connection id="3" xr16:uid="{C16BC859-241C-4ED2-BB95-7C4E62AD6469}" keepAlive="1" name="連線10" type="5" refreshedVersion="0" background="1">
    <dbPr connection="Provider=Microsoft.Mashup.OleDb.1;Data Source=$Workbook$;Location=&quot;Table 3&quot;;Extended Properties=&quot;&quot;" commandType="0"/>
  </connection>
  <connection id="4" xr16:uid="{E511CA57-1B64-4F8F-B498-CCDE19E8893F}" keepAlive="1" name="連線100" type="5" refreshedVersion="0" background="1">
    <dbPr connection="Provider=Microsoft.Mashup.OleDb.1;Data Source=$Workbook$;Location=&quot;Table_投資組合比重__&quot;;Extended Properties=&quot;&quot;" commandType="0"/>
  </connection>
  <connection id="5" xr16:uid="{7E627294-70C0-4FA0-B2AC-0C3E4C35F9F7}" keepAlive="1" name="連線1000" type="5" refreshedVersion="0" background="1">
    <dbPr connection="Provider=Microsoft.Mashup.OleDb.1;Data Source=$Workbook$;Location=&quot;Table_2912_113_03&quot;;Extended Properties=&quot;&quot;" commandType="0"/>
  </connection>
  <connection id="6" xr16:uid="{64E6800D-556E-41C8-A118-6D4D890943DF}" keepAlive="1" name="連線1001" type="5" refreshedVersion="0" background="1">
    <dbPr connection="Provider=Microsoft.Mashup.OleDb.1;Data Source=$Workbook$;Location=&quot;Table_2912_113_02&quot;;Extended Properties=&quot;&quot;" commandType="0"/>
  </connection>
  <connection id="7" xr16:uid="{0A86006A-C587-49BF-912F-37A25EFC12D8}" keepAlive="1" name="連線1002" type="5" refreshedVersion="0" background="1">
    <dbPr connection="Provider=Microsoft.Mashup.OleDb.1;Data Source=$Workbook$;Location=&quot;Table_2912_113_01&quot;;Extended Properties=&quot;&quot;" commandType="0"/>
  </connection>
  <connection id="8" xr16:uid="{E75390AA-3C4D-4418-A483-B8E03AB30911}" keepAlive="1" name="連線1003" type="5" refreshedVersion="0" background="1">
    <dbPr connection="Provider=Microsoft.Mashup.OleDb.1;Data Source=$Workbook$;Location=&quot;Table_2002_113_03&quot;;Extended Properties=&quot;&quot;" commandType="0"/>
  </connection>
  <connection id="9" xr16:uid="{36D87AAE-0DCA-4626-88DA-D031EF078137}" keepAlive="1" name="連線1004" type="5" refreshedVersion="0" background="1">
    <dbPr connection="Provider=Microsoft.Mashup.OleDb.1;Data Source=$Workbook$;Location=&quot;Table_2002_113_02&quot;;Extended Properties=&quot;&quot;" commandType="0"/>
  </connection>
  <connection id="10" xr16:uid="{4DD852E6-1E28-4A66-BD5C-076A69E10006}" keepAlive="1" name="連線1005" type="5" refreshedVersion="0" background="1">
    <dbPr connection="Provider=Microsoft.Mashup.OleDb.1;Data Source=$Workbook$;Location=&quot;Table_2002_113_01&quot;;Extended Properties=&quot;&quot;" commandType="0"/>
  </connection>
  <connection id="11" xr16:uid="{B134E3C5-A0FA-4B55-B0C7-D75BCC7013B7}" keepAlive="1" name="連線1006" type="5" refreshedVersion="0" background="1">
    <dbPr connection="Provider=Microsoft.Mashup.OleDb.1;Data Source=$Workbook$;Location=&quot;Table_2882_113_03&quot;;Extended Properties=&quot;&quot;" commandType="0"/>
  </connection>
  <connection id="12" xr16:uid="{D2D6D9FA-B2BD-4E42-90C0-CAC3F5079866}" keepAlive="1" name="連線1007" type="5" refreshedVersion="0" background="1">
    <dbPr connection="Provider=Microsoft.Mashup.OleDb.1;Data Source=$Workbook$;Location=&quot;Table_2882_113_02&quot;;Extended Properties=&quot;&quot;" commandType="0"/>
  </connection>
  <connection id="13" xr16:uid="{88CA27D8-62C7-4068-8E11-C58D19152C27}" keepAlive="1" name="連線1008" type="5" refreshedVersion="0" background="1">
    <dbPr connection="Provider=Microsoft.Mashup.OleDb.1;Data Source=$Workbook$;Location=&quot;Table_2882_113_01&quot;;Extended Properties=&quot;&quot;" commandType="0"/>
  </connection>
  <connection id="14" xr16:uid="{BFDAB8FB-9DCE-46BC-9B70-F03505DDBD51}" keepAlive="1" name="連線1009" type="5" refreshedVersion="0" background="1">
    <dbPr connection="Provider=Microsoft.Mashup.OleDb.1;Data Source=$Workbook$;Location=&quot;Table_2330_113_03&quot;;Extended Properties=&quot;&quot;" commandType="0"/>
  </connection>
  <connection id="15" xr16:uid="{748219D9-DB82-45A7-BB9B-7F6012B3D6E9}" keepAlive="1" name="連線101" type="5" refreshedVersion="0" background="1">
    <dbPr connection="Provider=Microsoft.Mashup.OleDb.1;Data Source=$Workbook$;Location=&quot;Table_2330_113_01&quot;;Extended Properties=&quot;&quot;" commandType="0"/>
  </connection>
  <connection id="16" xr16:uid="{28DA69AB-24E8-40EA-BD25-B8240F5FD9BF}" keepAlive="1" name="連線1010" type="5" refreshedVersion="0" background="1">
    <dbPr connection="Provider=Microsoft.Mashup.OleDb.1;Data Source=$Workbook$;Location=&quot;Table_2330_113_02&quot;;Extended Properties=&quot;&quot;" commandType="0"/>
  </connection>
  <connection id="17" xr16:uid="{F24F583B-0677-404E-90BB-B09EAC8533F3}" keepAlive="1" name="連線1011" type="5" refreshedVersion="0" background="1">
    <dbPr connection="Provider=Microsoft.Mashup.OleDb.1;Data Source=$Workbook$;Location=&quot;Table_2330_113_01&quot;;Extended Properties=&quot;&quot;" commandType="0"/>
  </connection>
  <connection id="18" xr16:uid="{96F271AF-3E3F-4605-95AC-97D286EB2CEC}" keepAlive="1" name="連線1012" type="5" refreshedVersion="0" background="1">
    <dbPr connection="Provider=Microsoft.Mashup.OleDb.1;Data Source=$Workbook$;Location=&quot;Table_1101_113_03&quot;;Extended Properties=&quot;&quot;" commandType="0"/>
  </connection>
  <connection id="19" xr16:uid="{6E3B9624-ADA6-41AB-A1DB-04D1BDF34AF6}" keepAlive="1" name="連線1013" type="5" refreshedVersion="0" background="1">
    <dbPr connection="Provider=Microsoft.Mashup.OleDb.1;Data Source=$Workbook$;Location=&quot;Table_1101_113_02&quot;;Extended Properties=&quot;&quot;" commandType="0"/>
  </connection>
  <connection id="20" xr16:uid="{92ADFD31-B75E-4B5C-82CD-78A9BA2B4988}" keepAlive="1" name="連線1014" type="5" refreshedVersion="0" background="1">
    <dbPr connection="Provider=Microsoft.Mashup.OleDb.1;Data Source=$Workbook$;Location=&quot;Table_1101_113_01&quot;;Extended Properties=&quot;&quot;" commandType="0"/>
  </connection>
  <connection id="21" xr16:uid="{944204DE-BF86-4A6C-B848-9D5CAD594CE8}" keepAlive="1" name="連線1015" type="5" refreshedVersion="0" background="1">
    <dbPr connection="Provider=Microsoft.Mashup.OleDb.1;Data Source=$Workbook$;Location=&quot;Table_2912_113_03&quot;;Extended Properties=&quot;&quot;" commandType="0"/>
  </connection>
  <connection id="22" xr16:uid="{4CBFAE9D-8905-4504-88BF-D6EBE9A69EA4}" keepAlive="1" name="連線1016" type="5" refreshedVersion="0" background="1">
    <dbPr connection="Provider=Microsoft.Mashup.OleDb.1;Data Source=$Workbook$;Location=&quot;Table_2912_113_02&quot;;Extended Properties=&quot;&quot;" commandType="0"/>
  </connection>
  <connection id="23" xr16:uid="{561C6D81-8C97-4AF6-928F-40C9F3D7BEE0}" keepAlive="1" name="連線1017" type="5" refreshedVersion="0" background="1">
    <dbPr connection="Provider=Microsoft.Mashup.OleDb.1;Data Source=$Workbook$;Location=&quot;Table_2912_113_01&quot;;Extended Properties=&quot;&quot;" commandType="0"/>
  </connection>
  <connection id="24" xr16:uid="{EDD17B51-BD1A-41C2-BE03-AC54E6F5E12F}" keepAlive="1" name="連線1018" type="5" refreshedVersion="0" background="1">
    <dbPr connection="Provider=Microsoft.Mashup.OleDb.1;Data Source=$Workbook$;Location=&quot;Table_2002_113_03&quot;;Extended Properties=&quot;&quot;" commandType="0"/>
  </connection>
  <connection id="25" xr16:uid="{141E1ED1-F0AF-4C29-83D7-C7FC933E8024}" keepAlive="1" name="連線1019" type="5" refreshedVersion="0" background="1">
    <dbPr connection="Provider=Microsoft.Mashup.OleDb.1;Data Source=$Workbook$;Location=&quot;Table_2002_113_02&quot;;Extended Properties=&quot;&quot;" commandType="0"/>
  </connection>
  <connection id="26" xr16:uid="{2F0EEC8B-0099-4E65-943B-DAB056B5BEC4}" keepAlive="1" name="連線102" type="5" refreshedVersion="0" background="1">
    <dbPr connection="Provider=Microsoft.Mashup.OleDb.1;Data Source=$Workbook$;Location=&quot;Table_2330_113_02&quot;;Extended Properties=&quot;&quot;" commandType="0"/>
  </connection>
  <connection id="27" xr16:uid="{E0FC5CCF-0C9C-485C-A071-62C2BA4A0C4F}" keepAlive="1" name="連線1020" type="5" refreshedVersion="0" background="1">
    <dbPr connection="Provider=Microsoft.Mashup.OleDb.1;Data Source=$Workbook$;Location=&quot;Table_2002_113_01&quot;;Extended Properties=&quot;&quot;" commandType="0"/>
  </connection>
  <connection id="28" xr16:uid="{CF51AE27-0ACA-4180-9897-AD103B7A46EB}" keepAlive="1" name="連線1021" type="5" refreshedVersion="0" background="1">
    <dbPr connection="Provider=Microsoft.Mashup.OleDb.1;Data Source=$Workbook$;Location=&quot;Table_2882_113_03&quot;;Extended Properties=&quot;&quot;" commandType="0"/>
  </connection>
  <connection id="29" xr16:uid="{EA4B650C-933D-4C67-868F-85DB501F2526}" keepAlive="1" name="連線1022" type="5" refreshedVersion="0" background="1">
    <dbPr connection="Provider=Microsoft.Mashup.OleDb.1;Data Source=$Workbook$;Location=&quot;Table_2882_113_02&quot;;Extended Properties=&quot;&quot;" commandType="0"/>
  </connection>
  <connection id="30" xr16:uid="{647BBB6C-7B25-443C-A024-1F1B72B68362}" keepAlive="1" name="連線1023" type="5" refreshedVersion="0" background="1">
    <dbPr connection="Provider=Microsoft.Mashup.OleDb.1;Data Source=$Workbook$;Location=&quot;Table_2882_113_01&quot;;Extended Properties=&quot;&quot;" commandType="0"/>
  </connection>
  <connection id="31" xr16:uid="{C54290D3-E1E6-4A29-9DAC-4805F7E3E5F2}" keepAlive="1" name="連線1024" type="5" refreshedVersion="0" background="1">
    <dbPr connection="Provider=Microsoft.Mashup.OleDb.1;Data Source=$Workbook$;Location=&quot;Table_2330_113_03&quot;;Extended Properties=&quot;&quot;" commandType="0"/>
  </connection>
  <connection id="32" xr16:uid="{ED8A3542-8924-492C-A1F8-41F935279266}" keepAlive="1" name="連線1025" type="5" refreshedVersion="0" background="1">
    <dbPr connection="Provider=Microsoft.Mashup.OleDb.1;Data Source=$Workbook$;Location=&quot;Table_2330_113_02&quot;;Extended Properties=&quot;&quot;" commandType="0"/>
  </connection>
  <connection id="33" xr16:uid="{568EAAD7-E4F2-481C-80A4-915C381AC1DC}" keepAlive="1" name="連線1026" type="5" refreshedVersion="0" background="1">
    <dbPr connection="Provider=Microsoft.Mashup.OleDb.1;Data Source=$Workbook$;Location=&quot;Table_2330_113_01&quot;;Extended Properties=&quot;&quot;" commandType="0"/>
  </connection>
  <connection id="34" xr16:uid="{C5402AFE-674B-4BF3-8506-D1A9E5B92424}" keepAlive="1" name="連線1027" type="5" refreshedVersion="0" background="1">
    <dbPr connection="Provider=Microsoft.Mashup.OleDb.1;Data Source=$Workbook$;Location=&quot;Table_1101_113_03&quot;;Extended Properties=&quot;&quot;" commandType="0"/>
  </connection>
  <connection id="35" xr16:uid="{38169ACA-6303-40A0-87F9-F81579E06434}" keepAlive="1" name="連線1028" type="5" refreshedVersion="0" background="1">
    <dbPr connection="Provider=Microsoft.Mashup.OleDb.1;Data Source=$Workbook$;Location=&quot;Table_1101_113_02&quot;;Extended Properties=&quot;&quot;" commandType="0"/>
  </connection>
  <connection id="36" xr16:uid="{901F3863-AF79-4826-A483-09D7C99EFE6E}" keepAlive="1" name="連線1029" type="5" refreshedVersion="0" background="1">
    <dbPr connection="Provider=Microsoft.Mashup.OleDb.1;Data Source=$Workbook$;Location=&quot;Table_1101_113_01&quot;;Extended Properties=&quot;&quot;" commandType="0"/>
  </connection>
  <connection id="37" xr16:uid="{BE699CFE-BE61-4ACB-B0CF-1C2E32E52E89}" keepAlive="1" name="連線103" type="5" refreshedVersion="0" background="1">
    <dbPr connection="Provider=Microsoft.Mashup.OleDb.1;Data Source=$Workbook$;Location=&quot;Table_2330_113_03&quot;;Extended Properties=&quot;&quot;" commandType="0"/>
  </connection>
  <connection id="38" xr16:uid="{05A8FBBC-5476-43D4-AF31-63327AF7CB88}" keepAlive="1" name="連線1030" type="5" refreshedVersion="0" background="1">
    <dbPr connection="Provider=Microsoft.Mashup.OleDb.1;Data Source=$Workbook$;Location=&quot;Table_2912_113_03&quot;;Extended Properties=&quot;&quot;" commandType="0"/>
  </connection>
  <connection id="39" xr16:uid="{3DC19921-5850-4304-A352-CA8C7B50F737}" keepAlive="1" name="連線1031" type="5" refreshedVersion="0" background="1">
    <dbPr connection="Provider=Microsoft.Mashup.OleDb.1;Data Source=$Workbook$;Location=&quot;Table_2912_113_02&quot;;Extended Properties=&quot;&quot;" commandType="0"/>
  </connection>
  <connection id="40" xr16:uid="{7D244570-5CDE-4ED7-B7AD-D6BF98012196}" keepAlive="1" name="連線1032" type="5" refreshedVersion="0" background="1">
    <dbPr connection="Provider=Microsoft.Mashup.OleDb.1;Data Source=$Workbook$;Location=&quot;Table_2912_113_01&quot;;Extended Properties=&quot;&quot;" commandType="0"/>
  </connection>
  <connection id="41" xr16:uid="{073BCF1E-25B9-4C13-9635-0F04EA38A49A}" keepAlive="1" name="連線1033" type="5" refreshedVersion="0" background="1">
    <dbPr connection="Provider=Microsoft.Mashup.OleDb.1;Data Source=$Workbook$;Location=&quot;Table_2002_113_03&quot;;Extended Properties=&quot;&quot;" commandType="0"/>
  </connection>
  <connection id="42" xr16:uid="{6CFCB284-BB70-4E88-9D23-47EF02008648}" keepAlive="1" name="連線1034" type="5" refreshedVersion="0" background="1">
    <dbPr connection="Provider=Microsoft.Mashup.OleDb.1;Data Source=$Workbook$;Location=&quot;Table_2002_113_02&quot;;Extended Properties=&quot;&quot;" commandType="0"/>
  </connection>
  <connection id="43" xr16:uid="{5F7F2818-F58D-4CE0-B43F-C23CD9526637}" keepAlive="1" name="連線1035" type="5" refreshedVersion="0" background="1">
    <dbPr connection="Provider=Microsoft.Mashup.OleDb.1;Data Source=$Workbook$;Location=&quot;Table_2002_113_01&quot;;Extended Properties=&quot;&quot;" commandType="0"/>
  </connection>
  <connection id="44" xr16:uid="{CDD1B6B5-2B40-483A-9A3E-108456389484}" keepAlive="1" name="連線1036" type="5" refreshedVersion="0" background="1">
    <dbPr connection="Provider=Microsoft.Mashup.OleDb.1;Data Source=$Workbook$;Location=&quot;Table_2882_113_03&quot;;Extended Properties=&quot;&quot;" commandType="0"/>
  </connection>
  <connection id="45" xr16:uid="{5F9B1452-BE38-4D8E-8A17-AF9A6E94E01F}" keepAlive="1" name="連線1037" type="5" refreshedVersion="0" background="1">
    <dbPr connection="Provider=Microsoft.Mashup.OleDb.1;Data Source=$Workbook$;Location=&quot;Table_2882_113_02&quot;;Extended Properties=&quot;&quot;" commandType="0"/>
  </connection>
  <connection id="46" xr16:uid="{68DBADA8-5BB6-4C45-8289-FCEA14D3F35A}" keepAlive="1" name="連線1038" type="5" refreshedVersion="0" background="1">
    <dbPr connection="Provider=Microsoft.Mashup.OleDb.1;Data Source=$Workbook$;Location=&quot;Table_2882_113_01&quot;;Extended Properties=&quot;&quot;" commandType="0"/>
  </connection>
  <connection id="47" xr16:uid="{48A49421-F3E2-45C2-9C03-CCE4AB1739EB}" keepAlive="1" name="連線1039" type="5" refreshedVersion="0" background="1">
    <dbPr connection="Provider=Microsoft.Mashup.OleDb.1;Data Source=$Workbook$;Location=&quot;Table_2330_113_03&quot;;Extended Properties=&quot;&quot;" commandType="0"/>
  </connection>
  <connection id="48" xr16:uid="{C4EE2A46-9C13-406B-8AEE-772C1012E9DF}" keepAlive="1" name="連線104" type="5" refreshedVersion="0" background="1">
    <dbPr connection="Provider=Microsoft.Mashup.OleDb.1;Data Source=$Workbook$;Location=&quot;Table_2002_113_01&quot;;Extended Properties=&quot;&quot;" commandType="0"/>
  </connection>
  <connection id="49" xr16:uid="{DD92ED8A-0927-402B-A584-F8D906952214}" keepAlive="1" name="連線1040" type="5" refreshedVersion="0" background="1">
    <dbPr connection="Provider=Microsoft.Mashup.OleDb.1;Data Source=$Workbook$;Location=&quot;Table_2330_113_02&quot;;Extended Properties=&quot;&quot;" commandType="0"/>
  </connection>
  <connection id="50" xr16:uid="{C0B6F463-8FDC-4B6A-835A-58433DA06322}" keepAlive="1" name="連線1041" type="5" refreshedVersion="0" background="1">
    <dbPr connection="Provider=Microsoft.Mashup.OleDb.1;Data Source=$Workbook$;Location=&quot;Table_2330_113_01&quot;;Extended Properties=&quot;&quot;" commandType="0"/>
  </connection>
  <connection id="51" xr16:uid="{89165C12-57EB-492C-9A71-4FD252550695}" keepAlive="1" name="連線1042" type="5" refreshedVersion="0" background="1">
    <dbPr connection="Provider=Microsoft.Mashup.OleDb.1;Data Source=$Workbook$;Location=&quot;Table_1101_113_03&quot;;Extended Properties=&quot;&quot;" commandType="0"/>
  </connection>
  <connection id="52" xr16:uid="{D8E10E29-5B4D-4150-9EF4-2F8C1516CC96}" keepAlive="1" name="連線1043" type="5" refreshedVersion="0" background="1">
    <dbPr connection="Provider=Microsoft.Mashup.OleDb.1;Data Source=$Workbook$;Location=&quot;Table_1101_113_02&quot;;Extended Properties=&quot;&quot;" commandType="0"/>
  </connection>
  <connection id="53" xr16:uid="{6F6C32AC-9953-44EC-8F76-19142C2175CE}" keepAlive="1" name="連線1044" type="5" refreshedVersion="0" background="1">
    <dbPr connection="Provider=Microsoft.Mashup.OleDb.1;Data Source=$Workbook$;Location=&quot;Table_1101_113_01&quot;;Extended Properties=&quot;&quot;" commandType="0"/>
  </connection>
  <connection id="54" xr16:uid="{ADD64E00-617F-4FCF-A51A-7696C2741544}" keepAlive="1" name="連線1045" type="5" refreshedVersion="0" background="1">
    <dbPr connection="Provider=Microsoft.Mashup.OleDb.1;Data Source=$Workbook$;Location=&quot;Table_2912_113_03&quot;;Extended Properties=&quot;&quot;" commandType="0"/>
  </connection>
  <connection id="55" xr16:uid="{86FDF599-B5C7-493A-81A7-535BC191CD48}" keepAlive="1" name="連線1046" type="5" refreshedVersion="0" background="1">
    <dbPr connection="Provider=Microsoft.Mashup.OleDb.1;Data Source=$Workbook$;Location=&quot;Table_2912_113_02&quot;;Extended Properties=&quot;&quot;" commandType="0"/>
  </connection>
  <connection id="56" xr16:uid="{E96EDF63-7E68-4F3A-8C7A-C0B6C865D2E5}" keepAlive="1" name="連線1047" type="5" refreshedVersion="0" background="1">
    <dbPr connection="Provider=Microsoft.Mashup.OleDb.1;Data Source=$Workbook$;Location=&quot;Table_2912_113_01&quot;;Extended Properties=&quot;&quot;" commandType="0"/>
  </connection>
  <connection id="57" xr16:uid="{C4CBBCF1-321A-4471-820D-F04180075EF8}" keepAlive="1" name="連線1048" type="5" refreshedVersion="0" background="1">
    <dbPr connection="Provider=Microsoft.Mashup.OleDb.1;Data Source=$Workbook$;Location=&quot;Table_2002_113_03&quot;;Extended Properties=&quot;&quot;" commandType="0"/>
  </connection>
  <connection id="58" xr16:uid="{7AB4B9FF-5DA9-43C7-B0C1-DEF1A940A639}" keepAlive="1" name="連線1049" type="5" refreshedVersion="0" background="1">
    <dbPr connection="Provider=Microsoft.Mashup.OleDb.1;Data Source=$Workbook$;Location=&quot;Table_2002_113_02&quot;;Extended Properties=&quot;&quot;" commandType="0"/>
  </connection>
  <connection id="59" xr16:uid="{5D8D5B0E-3B4A-485A-BFB7-95277676BCD2}" keepAlive="1" name="連線105" type="5" refreshedVersion="0" background="1">
    <dbPr connection="Provider=Microsoft.Mashup.OleDb.1;Data Source=$Workbook$;Location=&quot;Table_2002_113_02&quot;;Extended Properties=&quot;&quot;" commandType="0"/>
  </connection>
  <connection id="60" xr16:uid="{AB53515B-13BC-4EFE-A956-39E9DED6AD23}" keepAlive="1" name="連線1050" type="5" refreshedVersion="0" background="1">
    <dbPr connection="Provider=Microsoft.Mashup.OleDb.1;Data Source=$Workbook$;Location=&quot;Table_2002_113_01&quot;;Extended Properties=&quot;&quot;" commandType="0"/>
  </connection>
  <connection id="61" xr16:uid="{620571E8-614B-4AED-9F1A-219862805B00}" keepAlive="1" name="連線1051" type="5" refreshedVersion="0" background="1">
    <dbPr connection="Provider=Microsoft.Mashup.OleDb.1;Data Source=$Workbook$;Location=&quot;Table_2882_113_03&quot;;Extended Properties=&quot;&quot;" commandType="0"/>
  </connection>
  <connection id="62" xr16:uid="{BD2F47E0-C807-4C62-B7EA-FD798C684255}" keepAlive="1" name="連線1052" type="5" refreshedVersion="0" background="1">
    <dbPr connection="Provider=Microsoft.Mashup.OleDb.1;Data Source=$Workbook$;Location=&quot;Table_2882_113_02&quot;;Extended Properties=&quot;&quot;" commandType="0"/>
  </connection>
  <connection id="63" xr16:uid="{06C7571A-83C6-416D-B696-ACA825FB0E8B}" keepAlive="1" name="連線1053" type="5" refreshedVersion="0" background="1">
    <dbPr connection="Provider=Microsoft.Mashup.OleDb.1;Data Source=$Workbook$;Location=&quot;Table_2882_113_01&quot;;Extended Properties=&quot;&quot;" commandType="0"/>
  </connection>
  <connection id="64" xr16:uid="{A3201863-4352-4294-9380-678CC8ECE81C}" keepAlive="1" name="連線1054" type="5" refreshedVersion="0" background="1">
    <dbPr connection="Provider=Microsoft.Mashup.OleDb.1;Data Source=$Workbook$;Location=&quot;Table_0050_113_03&quot;;Extended Properties=&quot;&quot;" commandType="0"/>
  </connection>
  <connection id="65" xr16:uid="{8E146041-7730-437E-BB15-8E6206464FF3}" keepAlive="1" name="連線1055" type="5" refreshedVersion="0" background="1">
    <dbPr connection="Provider=Microsoft.Mashup.OleDb.1;Data Source=$Workbook$;Location=&quot;Table_0050_113_02&quot;;Extended Properties=&quot;&quot;" commandType="0"/>
  </connection>
  <connection id="66" xr16:uid="{997FC642-E56B-40F3-8341-9858E5FFE500}" keepAlive="1" name="連線1056" type="5" refreshedVersion="0" background="1">
    <dbPr connection="Provider=Microsoft.Mashup.OleDb.1;Data Source=$Workbook$;Location=&quot;Table_0050_113_01&quot;;Extended Properties=&quot;&quot;" commandType="0"/>
  </connection>
  <connection id="67" xr16:uid="{651CBC6E-6A92-4520-929A-25279F2AA3E1}" keepAlive="1" name="連線1057" type="5" refreshedVersion="0" background="1">
    <dbPr connection="Provider=Microsoft.Mashup.OleDb.1;Data Source=$Workbook$;Location=&quot;Table_4763_113_03&quot;;Extended Properties=&quot;&quot;" commandType="0"/>
  </connection>
  <connection id="68" xr16:uid="{B6DBE2A5-6739-4584-B696-64874EDFCD6C}" keepAlive="1" name="連線1058" type="5" refreshedVersion="0" background="1">
    <dbPr connection="Provider=Microsoft.Mashup.OleDb.1;Data Source=$Workbook$;Location=&quot;Table_4763_113_02&quot;;Extended Properties=&quot;&quot;" commandType="0"/>
  </connection>
  <connection id="69" xr16:uid="{FC72B008-F7AB-437C-9241-4F95A893BAA3}" keepAlive="1" name="連線1059" type="5" refreshedVersion="0" background="1">
    <dbPr connection="Provider=Microsoft.Mashup.OleDb.1;Data Source=$Workbook$;Location=&quot;Table_4763_113_01&quot;;Extended Properties=&quot;&quot;" commandType="0"/>
  </connection>
  <connection id="70" xr16:uid="{73471739-F4C7-454E-A0BC-423F1EBA0A2B}" keepAlive="1" name="連線106" type="5" refreshedVersion="0" background="1">
    <dbPr connection="Provider=Microsoft.Mashup.OleDb.1;Data Source=$Workbook$;Location=&quot;Table_2002_113_03&quot;;Extended Properties=&quot;&quot;" commandType="0"/>
  </connection>
  <connection id="71" xr16:uid="{B22A7E8B-7518-4AF4-B9A1-F20ECB76DAF7}" keepAlive="1" name="連線1060" type="5" refreshedVersion="0" background="1">
    <dbPr connection="Provider=Microsoft.Mashup.OleDb.1;Data Source=$Workbook$;Location=&quot;Table_8069_113_03&quot;;Extended Properties=&quot;&quot;" commandType="0"/>
  </connection>
  <connection id="72" xr16:uid="{03685BDB-89B3-4DEE-82A0-1350D417BA75}" keepAlive="1" name="連線1061" type="5" refreshedVersion="0" background="1">
    <dbPr connection="Provider=Microsoft.Mashup.OleDb.1;Data Source=$Workbook$;Location=&quot;Table_8069_113_02&quot;;Extended Properties=&quot;&quot;" commandType="0"/>
  </connection>
  <connection id="73" xr16:uid="{0772335B-8B10-487E-9A8B-C78CD111FF08}" keepAlive="1" name="連線1062" type="5" refreshedVersion="0" background="1">
    <dbPr connection="Provider=Microsoft.Mashup.OleDb.1;Data Source=$Workbook$;Location=&quot;Table_8069_113_01&quot;;Extended Properties=&quot;&quot;" commandType="0"/>
  </connection>
  <connection id="74" xr16:uid="{1E5C2474-D0F3-4A21-B4C9-24C7144FD4C2}" keepAlive="1" name="連線1063" type="5" refreshedVersion="0" background="1">
    <dbPr connection="Provider=Microsoft.Mashup.OleDb.1;Data Source=$Workbook$;Location=&quot;Table_2330_113_03&quot;;Extended Properties=&quot;&quot;" commandType="0"/>
  </connection>
  <connection id="75" xr16:uid="{830AF563-DCF9-4FA0-97B5-1F0206C523B0}" keepAlive="1" name="連線1064" type="5" refreshedVersion="0" background="1">
    <dbPr connection="Provider=Microsoft.Mashup.OleDb.1;Data Source=$Workbook$;Location=&quot;Table_2330_113_02&quot;;Extended Properties=&quot;&quot;" commandType="0"/>
  </connection>
  <connection id="76" xr16:uid="{75613DEA-227A-48F3-B4AC-3BA6B7B11D2C}" keepAlive="1" name="連線1065" type="5" refreshedVersion="0" background="1">
    <dbPr connection="Provider=Microsoft.Mashup.OleDb.1;Data Source=$Workbook$;Location=&quot;Table_2330_113_01&quot;;Extended Properties=&quot;&quot;" commandType="0"/>
  </connection>
  <connection id="77" xr16:uid="{CF679E0D-0EC3-4B79-B9B9-8EEF892F8198}" keepAlive="1" name="連線1066" type="5" refreshedVersion="0" background="1">
    <dbPr connection="Provider=Microsoft.Mashup.OleDb.1;Data Source=$Workbook$;Location=&quot;Table_2332_113_03&quot;;Extended Properties=&quot;&quot;" commandType="0"/>
  </connection>
  <connection id="78" xr16:uid="{224DAC30-7EB1-4C3B-8352-31236C68F479}" keepAlive="1" name="連線1067" type="5" refreshedVersion="0" background="1">
    <dbPr connection="Provider=Microsoft.Mashup.OleDb.1;Data Source=$Workbook$;Location=&quot;Table_2332_113_02&quot;;Extended Properties=&quot;&quot;" commandType="0"/>
  </connection>
  <connection id="79" xr16:uid="{2C91BE4C-9033-43FB-9486-A811F995FE53}" keepAlive="1" name="連線1068" type="5" refreshedVersion="0" background="1">
    <dbPr connection="Provider=Microsoft.Mashup.OleDb.1;Data Source=$Workbook$;Location=&quot;Table_2332_113_01&quot;;Extended Properties=&quot;&quot;" commandType="0"/>
  </connection>
  <connection id="80" xr16:uid="{6EE49CAB-5626-43C0-AF42-D4725BBE5D21}" keepAlive="1" name="連線1069" type="5" refreshedVersion="0" background="1">
    <dbPr connection="Provider=Microsoft.Mashup.OleDb.1;Data Source=$Workbook$;Location=&quot;Table_3324_113_03&quot;;Extended Properties=&quot;&quot;" commandType="0"/>
  </connection>
  <connection id="81" xr16:uid="{08987778-0EC8-4A78-AB70-5F5E555F284E}" keepAlive="1" name="連線107" type="5" refreshedVersion="0" background="1">
    <dbPr connection="Provider=Microsoft.Mashup.OleDb.1;Data Source=$Workbook$;Location=&quot;Table_投資組合比重__&quot;;Extended Properties=&quot;&quot;" commandType="0"/>
  </connection>
  <connection id="82" xr16:uid="{3E2BC859-B050-47FA-ADFC-9DC9FC1BD9A8}" keepAlive="1" name="連線1070" type="5" refreshedVersion="0" background="1">
    <dbPr connection="Provider=Microsoft.Mashup.OleDb.1;Data Source=$Workbook$;Location=&quot;Table_3324_113_02&quot;;Extended Properties=&quot;&quot;" commandType="0"/>
  </connection>
  <connection id="83" xr16:uid="{F2EB3EAD-AF0E-4533-A413-0186A6A27BEB}" keepAlive="1" name="連線1071" type="5" refreshedVersion="0" background="1">
    <dbPr connection="Provider=Microsoft.Mashup.OleDb.1;Data Source=$Workbook$;Location=&quot;Table_3324_113_01&quot;;Extended Properties=&quot;&quot;" commandType="0"/>
  </connection>
  <connection id="84" xr16:uid="{76BC87A5-B0F6-4DEC-89B1-A7EA20CE745B}" keepAlive="1" name="連線1072" type="5" refreshedVersion="0" background="1">
    <dbPr connection="Provider=Microsoft.Mashup.OleDb.1;Data Source=$Workbook$;Location=&quot;Table_4763_113_03&quot;;Extended Properties=&quot;&quot;" commandType="0"/>
  </connection>
  <connection id="85" xr16:uid="{A9C52DE0-5D98-42C2-9563-71CECBBE71A5}" keepAlive="1" name="連線1073" type="5" refreshedVersion="0" background="1">
    <dbPr connection="Provider=Microsoft.Mashup.OleDb.1;Data Source=$Workbook$;Location=&quot;Table_4763_113_02&quot;;Extended Properties=&quot;&quot;" commandType="0"/>
  </connection>
  <connection id="86" xr16:uid="{50CF62F1-5C4F-4EC2-AB64-61BDB6066CE3}" keepAlive="1" name="連線1074" type="5" refreshedVersion="0" background="1">
    <dbPr connection="Provider=Microsoft.Mashup.OleDb.1;Data Source=$Workbook$;Location=&quot;Table_4763_113_01&quot;;Extended Properties=&quot;&quot;" commandType="0"/>
  </connection>
  <connection id="87" xr16:uid="{392196E9-B012-4424-9CCC-4906023F2F9A}" keepAlive="1" name="連線1075" type="5" refreshedVersion="0" background="1">
    <dbPr connection="Provider=Microsoft.Mashup.OleDb.1;Data Source=$Workbook$;Location=&quot;Table_8069_113_03&quot;;Extended Properties=&quot;&quot;" commandType="0"/>
  </connection>
  <connection id="88" xr16:uid="{A49F85B0-9F2D-433C-A63E-B9DBF94497FF}" keepAlive="1" name="連線1076" type="5" refreshedVersion="0" background="1">
    <dbPr connection="Provider=Microsoft.Mashup.OleDb.1;Data Source=$Workbook$;Location=&quot;Table_8069_113_02&quot;;Extended Properties=&quot;&quot;" commandType="0"/>
  </connection>
  <connection id="89" xr16:uid="{A0AB129B-CD82-4867-848F-FE14A42B18D2}" keepAlive="1" name="連線1077" type="5" refreshedVersion="0" background="1">
    <dbPr connection="Provider=Microsoft.Mashup.OleDb.1;Data Source=$Workbook$;Location=&quot;Table_8069_113_01&quot;;Extended Properties=&quot;&quot;" commandType="0"/>
  </connection>
  <connection id="90" xr16:uid="{15A220BE-4830-48C3-A68F-B35B6CF01F76}" keepAlive="1" name="連線1078" type="5" refreshedVersion="0" background="1">
    <dbPr connection="Provider=Microsoft.Mashup.OleDb.1;Data Source=$Workbook$;Location=&quot;Table_2330_113_03&quot;;Extended Properties=&quot;&quot;" commandType="0"/>
  </connection>
  <connection id="91" xr16:uid="{E742FB7B-FE71-49DD-8002-EBF701298A3A}" keepAlive="1" name="連線1079" type="5" refreshedVersion="0" background="1">
    <dbPr connection="Provider=Microsoft.Mashup.OleDb.1;Data Source=$Workbook$;Location=&quot;Table_2330_113_02&quot;;Extended Properties=&quot;&quot;" commandType="0"/>
  </connection>
  <connection id="92" xr16:uid="{426D7ED1-171D-43FC-A000-A13D77EE0709}" keepAlive="1" name="連線108" type="5" refreshedVersion="0" background="1">
    <dbPr connection="Provider=Microsoft.Mashup.OleDb.1;Data Source=$Workbook$;Location=&quot;Table_2330_113_01&quot;;Extended Properties=&quot;&quot;" commandType="0"/>
  </connection>
  <connection id="93" xr16:uid="{636C6033-1240-4F94-8508-46693CF6BF62}" keepAlive="1" name="連線1080" type="5" refreshedVersion="0" background="1">
    <dbPr connection="Provider=Microsoft.Mashup.OleDb.1;Data Source=$Workbook$;Location=&quot;Table_2330_113_01&quot;;Extended Properties=&quot;&quot;" commandType="0"/>
  </connection>
  <connection id="94" xr16:uid="{9ABC50A7-ACA7-462B-890A-B04C057BDCA8}" keepAlive="1" name="連線1081" type="5" refreshedVersion="0" background="1">
    <dbPr connection="Provider=Microsoft.Mashup.OleDb.1;Data Source=$Workbook$;Location=&quot;Table_2332_113_03&quot;;Extended Properties=&quot;&quot;" commandType="0"/>
  </connection>
  <connection id="95" xr16:uid="{F25B49B0-0650-4A1C-A042-5E66D6523115}" keepAlive="1" name="連線1082" type="5" refreshedVersion="0" background="1">
    <dbPr connection="Provider=Microsoft.Mashup.OleDb.1;Data Source=$Workbook$;Location=&quot;Table_2332_113_02&quot;;Extended Properties=&quot;&quot;" commandType="0"/>
  </connection>
  <connection id="96" xr16:uid="{0599917A-453E-4697-A2D9-66C0BF204954}" keepAlive="1" name="連線1083" type="5" refreshedVersion="0" background="1">
    <dbPr connection="Provider=Microsoft.Mashup.OleDb.1;Data Source=$Workbook$;Location=&quot;Table_2332_113_01&quot;;Extended Properties=&quot;&quot;" commandType="0"/>
  </connection>
  <connection id="97" xr16:uid="{C7FC6B50-B465-4F9E-99E2-72D2AC2BF866}" keepAlive="1" name="連線1084" type="5" refreshedVersion="0" background="1">
    <dbPr connection="Provider=Microsoft.Mashup.OleDb.1;Data Source=$Workbook$;Location=&quot;Table_2330_113_03&quot;;Extended Properties=&quot;&quot;" commandType="0"/>
  </connection>
  <connection id="98" xr16:uid="{BFD0CD5F-A871-4E7E-8452-F8BAEC135D58}" keepAlive="1" name="連線1085" type="5" refreshedVersion="0" background="1">
    <dbPr connection="Provider=Microsoft.Mashup.OleDb.1;Data Source=$Workbook$;Location=&quot;Table_2330_113_02&quot;;Extended Properties=&quot;&quot;" commandType="0"/>
  </connection>
  <connection id="99" xr16:uid="{249761BD-F16B-4275-9799-081D9623E9CE}" keepAlive="1" name="連線1086" type="5" refreshedVersion="0" background="1">
    <dbPr connection="Provider=Microsoft.Mashup.OleDb.1;Data Source=$Workbook$;Location=&quot;Table_2330_113_01&quot;;Extended Properties=&quot;&quot;" commandType="0"/>
  </connection>
  <connection id="100" xr16:uid="{0E4C7827-F87E-47C4-B9D9-CBF95FC75F7D}" keepAlive="1" name="連線1087" type="5" refreshedVersion="0" background="1">
    <dbPr connection="Provider=Microsoft.Mashup.OleDb.1;Data Source=$Workbook$;Location=&quot;Table_1101_113_03&quot;;Extended Properties=&quot;&quot;" commandType="0"/>
  </connection>
  <connection id="101" xr16:uid="{D5DA21C4-5D3A-4EA4-B2A6-B99E84E9E50C}" keepAlive="1" name="連線1088" type="5" refreshedVersion="0" background="1">
    <dbPr connection="Provider=Microsoft.Mashup.OleDb.1;Data Source=$Workbook$;Location=&quot;Table_1101_113_02&quot;;Extended Properties=&quot;&quot;" commandType="0"/>
  </connection>
  <connection id="102" xr16:uid="{60EA2B82-1D3A-429E-9A9D-9AC1752E8349}" keepAlive="1" name="連線1089" type="5" refreshedVersion="0" background="1">
    <dbPr connection="Provider=Microsoft.Mashup.OleDb.1;Data Source=$Workbook$;Location=&quot;Table_1101_113_01&quot;;Extended Properties=&quot;&quot;" commandType="0"/>
  </connection>
  <connection id="103" xr16:uid="{EAD44F59-5423-40E4-BBE5-37131C3B03BA}" keepAlive="1" name="連線109" type="5" refreshedVersion="0" background="1">
    <dbPr connection="Provider=Microsoft.Mashup.OleDb.1;Data Source=$Workbook$;Location=&quot;Table_2330_113_02&quot;;Extended Properties=&quot;&quot;" commandType="0"/>
  </connection>
  <connection id="104" xr16:uid="{8923D9C1-7088-465A-B726-4FDA4BAEE945}" keepAlive="1" name="連線1090" type="5" refreshedVersion="0" background="1">
    <dbPr connection="Provider=Microsoft.Mashup.OleDb.1;Data Source=$Workbook$;Location=&quot;Table_2912_113_03&quot;;Extended Properties=&quot;&quot;" commandType="0"/>
  </connection>
  <connection id="105" xr16:uid="{F96E64A6-79EE-4DA9-B97E-1A02CF39D31F}" keepAlive="1" name="連線1091" type="5" refreshedVersion="0" background="1">
    <dbPr connection="Provider=Microsoft.Mashup.OleDb.1;Data Source=$Workbook$;Location=&quot;Table_2912_113_02&quot;;Extended Properties=&quot;&quot;" commandType="0"/>
  </connection>
  <connection id="106" xr16:uid="{E01E8B3C-17F5-43FB-B126-EF324A4877B5}" keepAlive="1" name="連線1092" type="5" refreshedVersion="0" background="1">
    <dbPr connection="Provider=Microsoft.Mashup.OleDb.1;Data Source=$Workbook$;Location=&quot;Table_2912_113_01&quot;;Extended Properties=&quot;&quot;" commandType="0"/>
  </connection>
  <connection id="107" xr16:uid="{D1D07927-BCE3-468D-B716-13ECC1C34D8F}" keepAlive="1" name="連線1093" type="5" refreshedVersion="0" background="1">
    <dbPr connection="Provider=Microsoft.Mashup.OleDb.1;Data Source=$Workbook$;Location=&quot;Table_2002_113_03&quot;;Extended Properties=&quot;&quot;" commandType="0"/>
  </connection>
  <connection id="108" xr16:uid="{2DB7E4D9-D398-4022-AC38-DEA5378E4877}" keepAlive="1" name="連線1094" type="5" refreshedVersion="0" background="1">
    <dbPr connection="Provider=Microsoft.Mashup.OleDb.1;Data Source=$Workbook$;Location=&quot;Table_2002_113_02&quot;;Extended Properties=&quot;&quot;" commandType="0"/>
  </connection>
  <connection id="109" xr16:uid="{365C4A76-8B83-419D-881C-A3792BAE9277}" keepAlive="1" name="連線1095" type="5" refreshedVersion="0" background="1">
    <dbPr connection="Provider=Microsoft.Mashup.OleDb.1;Data Source=$Workbook$;Location=&quot;Table_2002_113_01&quot;;Extended Properties=&quot;&quot;" commandType="0"/>
  </connection>
  <connection id="110" xr16:uid="{CC95F659-6891-4A65-AF6F-E80287C7BD5F}" keepAlive="1" name="連線1096" type="5" refreshedVersion="0" background="1">
    <dbPr connection="Provider=Microsoft.Mashup.OleDb.1;Data Source=$Workbook$;Location=&quot;Table_2882_113_03&quot;;Extended Properties=&quot;&quot;" commandType="0"/>
  </connection>
  <connection id="111" xr16:uid="{36036DF9-4166-4D0F-AFFF-2E11BBE7AB53}" keepAlive="1" name="連線1097" type="5" refreshedVersion="0" background="1">
    <dbPr connection="Provider=Microsoft.Mashup.OleDb.1;Data Source=$Workbook$;Location=&quot;Table_2882_113_02&quot;;Extended Properties=&quot;&quot;" commandType="0"/>
  </connection>
  <connection id="112" xr16:uid="{9AC80E5A-7156-466E-89C5-0A955BC232FB}" keepAlive="1" name="連線1098" type="5" refreshedVersion="0" background="1">
    <dbPr connection="Provider=Microsoft.Mashup.OleDb.1;Data Source=$Workbook$;Location=&quot;Table_2882_113_01&quot;;Extended Properties=&quot;&quot;" commandType="0"/>
  </connection>
  <connection id="113" xr16:uid="{C9234E11-94D4-4184-816E-BECA20723426}" keepAlive="1" name="連線1099" type="5" refreshedVersion="0" background="1">
    <dbPr connection="Provider=Microsoft.Mashup.OleDb.1;Data Source=$Workbook$;Location=&quot;Table_8069_113_03&quot;;Extended Properties=&quot;&quot;" commandType="0"/>
  </connection>
  <connection id="114" xr16:uid="{C588CEFA-4758-49EA-9386-3192005FEF39}" keepAlive="1" name="連線11" type="5" refreshedVersion="0" background="1">
    <dbPr connection="Provider=Microsoft.Mashup.OleDb.1;Data Source=$Workbook$;Location=&quot;Table 4&quot;;Extended Properties=&quot;&quot;" commandType="0"/>
  </connection>
  <connection id="115" xr16:uid="{2139A522-D15B-4B59-9D3D-FEC3DF2FB3A1}" keepAlive="1" name="連線110" type="5" refreshedVersion="0" background="1">
    <dbPr connection="Provider=Microsoft.Mashup.OleDb.1;Data Source=$Workbook$;Location=&quot;Table_2330_113_03&quot;;Extended Properties=&quot;&quot;" commandType="0"/>
  </connection>
  <connection id="116" xr16:uid="{CB169948-81BA-4DA9-AA45-7735F5FBB3BB}" keepAlive="1" name="連線1100" type="5" refreshedVersion="0" background="1">
    <dbPr connection="Provider=Microsoft.Mashup.OleDb.1;Data Source=$Workbook$;Location=&quot;Table_8069_113_02&quot;;Extended Properties=&quot;&quot;" commandType="0"/>
  </connection>
  <connection id="117" xr16:uid="{F25F7D37-CE41-4400-BAC5-21B79A768F1E}" keepAlive="1" name="連線1101" type="5" refreshedVersion="0" background="1">
    <dbPr connection="Provider=Microsoft.Mashup.OleDb.1;Data Source=$Workbook$;Location=&quot;Table_8069_113_01&quot;;Extended Properties=&quot;&quot;" commandType="0"/>
  </connection>
  <connection id="118" xr16:uid="{27C0ECF9-135D-4397-BDF4-83FB9DC0DCEB}" keepAlive="1" name="連線1102" type="5" refreshedVersion="0" background="1">
    <dbPr connection="Provider=Microsoft.Mashup.OleDb.1;Data Source=$Workbook$;Location=&quot;Table_4763_113_03&quot;;Extended Properties=&quot;&quot;" commandType="0"/>
  </connection>
  <connection id="119" xr16:uid="{1AB56EBE-D286-4127-940B-0F5BACCA98BC}" keepAlive="1" name="連線1103" type="5" refreshedVersion="0" background="1">
    <dbPr connection="Provider=Microsoft.Mashup.OleDb.1;Data Source=$Workbook$;Location=&quot;Table_4763_113_02&quot;;Extended Properties=&quot;&quot;" commandType="0"/>
  </connection>
  <connection id="120" xr16:uid="{8A034E5D-20B9-42CE-B236-94C633D220BB}" keepAlive="1" name="連線1104" type="5" refreshedVersion="0" background="1">
    <dbPr connection="Provider=Microsoft.Mashup.OleDb.1;Data Source=$Workbook$;Location=&quot;Table_4763_113_01&quot;;Extended Properties=&quot;&quot;" commandType="0"/>
  </connection>
  <connection id="121" xr16:uid="{5AE9102F-07E6-40D3-8174-F4FD08716BC2}" keepAlive="1" name="連線1105" type="5" refreshedVersion="0" background="1">
    <dbPr connection="Provider=Microsoft.Mashup.OleDb.1;Data Source=$Workbook$;Location=&quot;Table_2112_113_03&quot;;Extended Properties=&quot;&quot;" commandType="0"/>
  </connection>
  <connection id="122" xr16:uid="{893A6A9B-2EF0-4F65-AC1F-FA84DF9AD141}" keepAlive="1" name="連線1106" type="5" refreshedVersion="0" background="1">
    <dbPr connection="Provider=Microsoft.Mashup.OleDb.1;Data Source=$Workbook$;Location=&quot;Table_8069_113_03&quot;;Extended Properties=&quot;&quot;" commandType="0"/>
  </connection>
  <connection id="123" xr16:uid="{BD405C59-791B-4993-9BAF-AAADE659A710}" keepAlive="1" name="連線1107" type="5" refreshedVersion="0" background="1">
    <dbPr connection="Provider=Microsoft.Mashup.OleDb.1;Data Source=$Workbook$;Location=&quot;Table_8069_113_02&quot;;Extended Properties=&quot;&quot;" commandType="0"/>
  </connection>
  <connection id="124" xr16:uid="{A4C9E423-EC53-4F19-ABFD-6BB8CCAAEC8B}" keepAlive="1" name="連線1108" type="5" refreshedVersion="0" background="1">
    <dbPr connection="Provider=Microsoft.Mashup.OleDb.1;Data Source=$Workbook$;Location=&quot;Table_8069_113_01&quot;;Extended Properties=&quot;&quot;" commandType="0"/>
  </connection>
  <connection id="125" xr16:uid="{1D3810CD-8B9B-4F41-9C4B-6A02B55EFBC3}" keepAlive="1" name="連線1109" type="5" refreshedVersion="0" background="1">
    <dbPr connection="Provider=Microsoft.Mashup.OleDb.1;Data Source=$Workbook$;Location=&quot;Table_4763_113_03&quot;;Extended Properties=&quot;&quot;" commandType="0"/>
  </connection>
  <connection id="126" xr16:uid="{7DA4394D-B8D3-4294-8483-6963EF43816B}" keepAlive="1" name="連線111" type="5" refreshedVersion="0" background="1">
    <dbPr connection="Provider=Microsoft.Mashup.OleDb.1;Data Source=$Workbook$;Location=&quot;Table_投資組合比重__&quot;;Extended Properties=&quot;&quot;" commandType="0"/>
  </connection>
  <connection id="127" xr16:uid="{8EB7992F-B4A8-40A8-9992-7FC1F270BF08}" keepAlive="1" name="連線1110" type="5" refreshedVersion="0" background="1">
    <dbPr connection="Provider=Microsoft.Mashup.OleDb.1;Data Source=$Workbook$;Location=&quot;Table_4763_113_02&quot;;Extended Properties=&quot;&quot;" commandType="0"/>
  </connection>
  <connection id="128" xr16:uid="{79E3F118-3AC3-43C6-8518-6C0D02BD733E}" keepAlive="1" name="連線1111" type="5" refreshedVersion="0" background="1">
    <dbPr connection="Provider=Microsoft.Mashup.OleDb.1;Data Source=$Workbook$;Location=&quot;Table_4763_113_01&quot;;Extended Properties=&quot;&quot;" commandType="0"/>
  </connection>
  <connection id="129" xr16:uid="{8B88E58D-F1A0-479F-AD06-A4E2232B2537}" keepAlive="1" name="連線1112" type="5" refreshedVersion="0" background="1">
    <dbPr connection="Provider=Microsoft.Mashup.OleDb.1;Data Source=$Workbook$;Location=&quot;Table_2498_113_03&quot;;Extended Properties=&quot;&quot;" commandType="0"/>
  </connection>
  <connection id="130" xr16:uid="{57971FBB-AF85-4F9E-AFBF-85F13D596A52}" keepAlive="1" name="連線1113" type="5" refreshedVersion="0" background="1">
    <dbPr connection="Provider=Microsoft.Mashup.OleDb.1;Data Source=$Workbook$;Location=&quot;Table_2498_113_02&quot;;Extended Properties=&quot;&quot;" commandType="0"/>
  </connection>
  <connection id="131" xr16:uid="{4F698162-0D9B-4CEB-9647-634F9774FEB0}" keepAlive="1" name="連線1114" type="5" refreshedVersion="0" background="1">
    <dbPr connection="Provider=Microsoft.Mashup.OleDb.1;Data Source=$Workbook$;Location=&quot;Table_2498_113_01&quot;;Extended Properties=&quot;&quot;" commandType="0"/>
  </connection>
  <connection id="132" xr16:uid="{AD83CDC0-16DF-4F6D-9B53-73BF86978618}" keepAlive="1" name="連線1115" type="5" refreshedVersion="0" background="1">
    <dbPr connection="Provider=Microsoft.Mashup.OleDb.1;Data Source=$Workbook$;Location=&quot;Table_2404_113_03&quot;;Extended Properties=&quot;&quot;" commandType="0"/>
  </connection>
  <connection id="133" xr16:uid="{8EE03117-9F62-4C29-8276-1BA4A9E3D9A9}" keepAlive="1" name="連線1116" type="5" refreshedVersion="0" background="1">
    <dbPr connection="Provider=Microsoft.Mashup.OleDb.1;Data Source=$Workbook$;Location=&quot;Table_2404_113_02&quot;;Extended Properties=&quot;&quot;" commandType="0"/>
  </connection>
  <connection id="134" xr16:uid="{6D25CA95-A8BD-489C-8F92-7D23196C3E99}" keepAlive="1" name="連線1117" type="5" refreshedVersion="0" background="1">
    <dbPr connection="Provider=Microsoft.Mashup.OleDb.1;Data Source=$Workbook$;Location=&quot;Table_2404_113_01&quot;;Extended Properties=&quot;&quot;" commandType="0"/>
  </connection>
  <connection id="135" xr16:uid="{ED159C8C-87BA-4BA0-8C3B-A1ECF0A35F16}" keepAlive="1" name="連線1118" type="5" refreshedVersion="0" background="1">
    <dbPr connection="Provider=Microsoft.Mashup.OleDb.1;Data Source=$Workbook$;Location=&quot;Table_2882_113_03&quot;;Extended Properties=&quot;&quot;" commandType="0"/>
  </connection>
  <connection id="136" xr16:uid="{36883E9B-87E5-44BD-AD36-763038542807}" keepAlive="1" name="連線1119" type="5" refreshedVersion="0" background="1">
    <dbPr connection="Provider=Microsoft.Mashup.OleDb.1;Data Source=$Workbook$;Location=&quot;Table_2882_113_02&quot;;Extended Properties=&quot;&quot;" commandType="0"/>
  </connection>
  <connection id="137" xr16:uid="{E0A19F05-BD08-4AAF-890A-C2015C4C3D32}" keepAlive="1" name="連線112" type="5" refreshedVersion="0" background="1">
    <dbPr connection="Provider=Microsoft.Mashup.OleDb.1;Data Source=$Workbook$;Location=&quot;Table_2330_113_01&quot;;Extended Properties=&quot;&quot;" commandType="0"/>
  </connection>
  <connection id="138" xr16:uid="{C9AC3D69-133F-4072-B893-7DED0AE7015A}" keepAlive="1" name="連線1120" type="5" refreshedVersion="0" background="1">
    <dbPr connection="Provider=Microsoft.Mashup.OleDb.1;Data Source=$Workbook$;Location=&quot;Table_2882_113_01&quot;;Extended Properties=&quot;&quot;" commandType="0"/>
  </connection>
  <connection id="139" xr16:uid="{554CA030-E231-4098-8798-C73D891DF201}" keepAlive="1" name="連線1121" type="5" refreshedVersion="0" background="1">
    <dbPr connection="Provider=Microsoft.Mashup.OleDb.1;Data Source=$Workbook$;Location=&quot;Table_2330_113_03&quot;;Extended Properties=&quot;&quot;" commandType="0"/>
  </connection>
  <connection id="140" xr16:uid="{8640EE2E-8EF4-40BB-B9EF-A394D562E23E}" keepAlive="1" name="連線1122" type="5" refreshedVersion="0" background="1">
    <dbPr connection="Provider=Microsoft.Mashup.OleDb.1;Data Source=$Workbook$;Location=&quot;Table_2330_113_02&quot;;Extended Properties=&quot;&quot;" commandType="0"/>
  </connection>
  <connection id="141" xr16:uid="{0E52D54E-AC4F-41E0-A6D0-75F02ECA1AC2}" keepAlive="1" name="連線1123" type="5" refreshedVersion="0" background="1">
    <dbPr connection="Provider=Microsoft.Mashup.OleDb.1;Data Source=$Workbook$;Location=&quot;Table_2330_113_01&quot;;Extended Properties=&quot;&quot;" commandType="0"/>
  </connection>
  <connection id="142" xr16:uid="{B01C6D41-A168-401E-AFB6-31E578C2C995}" keepAlive="1" name="連線1124" type="5" refreshedVersion="0" background="1">
    <dbPr connection="Provider=Microsoft.Mashup.OleDb.1;Data Source=$Workbook$;Location=&quot;Table_1101_113_03&quot;;Extended Properties=&quot;&quot;" commandType="0"/>
  </connection>
  <connection id="143" xr16:uid="{806CAC83-0AAD-47D2-951F-7DEE88E6E480}" keepAlive="1" name="連線1125" type="5" refreshedVersion="0" background="1">
    <dbPr connection="Provider=Microsoft.Mashup.OleDb.1;Data Source=$Workbook$;Location=&quot;Table_1101_113_02&quot;;Extended Properties=&quot;&quot;" commandType="0"/>
  </connection>
  <connection id="144" xr16:uid="{EBC102E1-813E-4C08-BF19-B5AC9EEB1971}" keepAlive="1" name="連線1126" type="5" refreshedVersion="0" background="1">
    <dbPr connection="Provider=Microsoft.Mashup.OleDb.1;Data Source=$Workbook$;Location=&quot;Table_1101_113_01&quot;;Extended Properties=&quot;&quot;" commandType="0"/>
  </connection>
  <connection id="145" xr16:uid="{40AFA912-2B42-41AC-865B-45751EEFEFFA}" keepAlive="1" name="連線1127" type="5" refreshedVersion="0" background="1">
    <dbPr connection="Provider=Microsoft.Mashup.OleDb.1;Data Source=$Workbook$;Location=&quot;Table_2912_113_03&quot;;Extended Properties=&quot;&quot;" commandType="0"/>
  </connection>
  <connection id="146" xr16:uid="{5F8F17CC-49DB-44D0-8DB8-1EABE511805A}" keepAlive="1" name="連線1128" type="5" refreshedVersion="0" background="1">
    <dbPr connection="Provider=Microsoft.Mashup.OleDb.1;Data Source=$Workbook$;Location=&quot;Table_2912_113_02&quot;;Extended Properties=&quot;&quot;" commandType="0"/>
  </connection>
  <connection id="147" xr16:uid="{9711FB07-1876-456D-AE7F-80F376117397}" keepAlive="1" name="連線1129" type="5" refreshedVersion="0" background="1">
    <dbPr connection="Provider=Microsoft.Mashup.OleDb.1;Data Source=$Workbook$;Location=&quot;Table_2912_113_01&quot;;Extended Properties=&quot;&quot;" commandType="0"/>
  </connection>
  <connection id="148" xr16:uid="{B74B1416-22BA-4511-93F1-FDE93B1B0E6F}" keepAlive="1" name="連線113" type="5" refreshedVersion="0" background="1">
    <dbPr connection="Provider=Microsoft.Mashup.OleDb.1;Data Source=$Workbook$;Location=&quot;Table_2330_113_02&quot;;Extended Properties=&quot;&quot;" commandType="0"/>
  </connection>
  <connection id="149" xr16:uid="{F4D21ADD-9992-4528-960D-AA78AB3F550C}" keepAlive="1" name="連線1130" type="5" refreshedVersion="0" background="1">
    <dbPr connection="Provider=Microsoft.Mashup.OleDb.1;Data Source=$Workbook$;Location=&quot;Table_2002_113_03&quot;;Extended Properties=&quot;&quot;" commandType="0"/>
  </connection>
  <connection id="150" xr16:uid="{1DE153F3-448B-40B4-BEE1-F7658BA3E2A0}" keepAlive="1" name="連線1131" type="5" refreshedVersion="0" background="1">
    <dbPr connection="Provider=Microsoft.Mashup.OleDb.1;Data Source=$Workbook$;Location=&quot;Table_2002_113_02&quot;;Extended Properties=&quot;&quot;" commandType="0"/>
  </connection>
  <connection id="151" xr16:uid="{D9943A9C-5E60-438A-A556-C190C4AB0D71}" keepAlive="1" name="連線1132" type="5" refreshedVersion="0" background="1">
    <dbPr connection="Provider=Microsoft.Mashup.OleDb.1;Data Source=$Workbook$;Location=&quot;Table_2002_113_01&quot;;Extended Properties=&quot;&quot;" commandType="0"/>
  </connection>
  <connection id="152" xr16:uid="{5C3F9AC1-5F0F-494D-A733-42518B347BF8}" keepAlive="1" name="連線1133" type="5" refreshedVersion="0" background="1">
    <dbPr connection="Provider=Microsoft.Mashup.OleDb.1;Data Source=$Workbook$;Location=&quot;Table_2882_113_03&quot;;Extended Properties=&quot;&quot;" commandType="0"/>
  </connection>
  <connection id="153" xr16:uid="{A1000D8F-BFEC-497A-9B43-E410C5ACF14B}" keepAlive="1" name="連線1134" type="5" refreshedVersion="0" background="1">
    <dbPr connection="Provider=Microsoft.Mashup.OleDb.1;Data Source=$Workbook$;Location=&quot;Table_2882_113_02&quot;;Extended Properties=&quot;&quot;" commandType="0"/>
  </connection>
  <connection id="154" xr16:uid="{D2537641-3EB7-4EAD-9791-940579010577}" keepAlive="1" name="連線1135" type="5" refreshedVersion="0" background="1">
    <dbPr connection="Provider=Microsoft.Mashup.OleDb.1;Data Source=$Workbook$;Location=&quot;Table_2882_113_01&quot;;Extended Properties=&quot;&quot;" commandType="0"/>
  </connection>
  <connection id="155" xr16:uid="{429D9626-3CB9-4E96-A26E-F345AA553DEC}" keepAlive="1" name="連線1136" type="5" refreshedVersion="0" background="1">
    <dbPr connection="Provider=Microsoft.Mashup.OleDb.1;Data Source=$Workbook$;Location=&quot;Table_2330_113_03&quot;;Extended Properties=&quot;&quot;" commandType="0"/>
  </connection>
  <connection id="156" xr16:uid="{1B652144-AB46-416F-920B-F8173E18BC7B}" keepAlive="1" name="連線1137" type="5" refreshedVersion="0" background="1">
    <dbPr connection="Provider=Microsoft.Mashup.OleDb.1;Data Source=$Workbook$;Location=&quot;Table_2330_113_02&quot;;Extended Properties=&quot;&quot;" commandType="0"/>
  </connection>
  <connection id="157" xr16:uid="{63A42086-0455-4D1F-9E61-CB43FA6E4995}" keepAlive="1" name="連線1138" type="5" refreshedVersion="0" background="1">
    <dbPr connection="Provider=Microsoft.Mashup.OleDb.1;Data Source=$Workbook$;Location=&quot;Table_2330_113_01&quot;;Extended Properties=&quot;&quot;" commandType="0"/>
  </connection>
  <connection id="158" xr16:uid="{16DA94A6-572B-40C0-8378-AB7E91DD1EF4}" keepAlive="1" name="連線1139" type="5" refreshedVersion="0" background="1">
    <dbPr connection="Provider=Microsoft.Mashup.OleDb.1;Data Source=$Workbook$;Location=&quot;Table_1101_113_03&quot;;Extended Properties=&quot;&quot;" commandType="0"/>
  </connection>
  <connection id="159" xr16:uid="{9C9D4D76-9378-490D-AC4F-5471CB4A5FF6}" keepAlive="1" name="連線114" type="5" refreshedVersion="0" background="1">
    <dbPr connection="Provider=Microsoft.Mashup.OleDb.1;Data Source=$Workbook$;Location=&quot;Table_2330_113_03&quot;;Extended Properties=&quot;&quot;" commandType="0"/>
  </connection>
  <connection id="160" xr16:uid="{86F8D1C8-6A6B-4150-8019-1682867E6933}" keepAlive="1" name="連線1140" type="5" refreshedVersion="0" background="1">
    <dbPr connection="Provider=Microsoft.Mashup.OleDb.1;Data Source=$Workbook$;Location=&quot;Table_1101_113_02&quot;;Extended Properties=&quot;&quot;" commandType="0"/>
  </connection>
  <connection id="161" xr16:uid="{199C9B9F-415A-45F8-9A81-030C0136710C}" keepAlive="1" name="連線1141" type="5" refreshedVersion="0" background="1">
    <dbPr connection="Provider=Microsoft.Mashup.OleDb.1;Data Source=$Workbook$;Location=&quot;Table_1101_113_01&quot;;Extended Properties=&quot;&quot;" commandType="0"/>
  </connection>
  <connection id="162" xr16:uid="{57A27C40-8407-4B71-BA94-6A1EA7EFF4DC}" keepAlive="1" name="連線1142" type="5" refreshedVersion="0" background="1">
    <dbPr connection="Provider=Microsoft.Mashup.OleDb.1;Data Source=$Workbook$;Location=&quot;Table_2912_113_03&quot;;Extended Properties=&quot;&quot;" commandType="0"/>
  </connection>
  <connection id="163" xr16:uid="{9B09BC33-72C0-4D9C-AC97-85274F551DA8}" keepAlive="1" name="連線1143" type="5" refreshedVersion="0" background="1">
    <dbPr connection="Provider=Microsoft.Mashup.OleDb.1;Data Source=$Workbook$;Location=&quot;Table_2912_113_02&quot;;Extended Properties=&quot;&quot;" commandType="0"/>
  </connection>
  <connection id="164" xr16:uid="{D2967439-A648-4703-AF74-35964A70050F}" keepAlive="1" name="連線1144" type="5" refreshedVersion="0" background="1">
    <dbPr connection="Provider=Microsoft.Mashup.OleDb.1;Data Source=$Workbook$;Location=&quot;Table_2912_113_01&quot;;Extended Properties=&quot;&quot;" commandType="0"/>
  </connection>
  <connection id="165" xr16:uid="{9DC2A515-16B2-4885-BEDF-02E4457B073D}" keepAlive="1" name="連線1145" type="5" refreshedVersion="0" background="1">
    <dbPr connection="Provider=Microsoft.Mashup.OleDb.1;Data Source=$Workbook$;Location=&quot;Table_2002_113_03&quot;;Extended Properties=&quot;&quot;" commandType="0"/>
  </connection>
  <connection id="166" xr16:uid="{F85F6EFF-5F1F-4180-B690-653AAC3ACAED}" keepAlive="1" name="連線1146" type="5" refreshedVersion="0" background="1">
    <dbPr connection="Provider=Microsoft.Mashup.OleDb.1;Data Source=$Workbook$;Location=&quot;Table_2002_113_02&quot;;Extended Properties=&quot;&quot;" commandType="0"/>
  </connection>
  <connection id="167" xr16:uid="{DE9F2572-36A9-419A-9EBE-30D616406690}" keepAlive="1" name="連線1147" type="5" refreshedVersion="0" background="1">
    <dbPr connection="Provider=Microsoft.Mashup.OleDb.1;Data Source=$Workbook$;Location=&quot;Table_2002_113_01&quot;;Extended Properties=&quot;&quot;" commandType="0"/>
  </connection>
  <connection id="168" xr16:uid="{8EB72222-BBEE-4604-BD62-7B1EB4911310}" keepAlive="1" name="連線1148" type="5" refreshedVersion="0" background="1">
    <dbPr connection="Provider=Microsoft.Mashup.OleDb.1;Data Source=$Workbook$;Location=&quot;Table_2882_113_03&quot;;Extended Properties=&quot;&quot;" commandType="0"/>
  </connection>
  <connection id="169" xr16:uid="{8A18EEC8-692A-48C6-971B-EA22CA3F2B8B}" keepAlive="1" name="連線1149" type="5" refreshedVersion="0" background="1">
    <dbPr connection="Provider=Microsoft.Mashup.OleDb.1;Data Source=$Workbook$;Location=&quot;Table_2882_113_02&quot;;Extended Properties=&quot;&quot;" commandType="0"/>
  </connection>
  <connection id="170" xr16:uid="{140B3285-DDA0-4D9C-8913-FB3847E42F1C}" keepAlive="1" name="連線115" type="5" refreshedVersion="0" background="1">
    <dbPr connection="Provider=Microsoft.Mashup.OleDb.1;Data Source=$Workbook$;Location=&quot;Table_2330_113_01&quot;;Extended Properties=&quot;&quot;" commandType="0"/>
  </connection>
  <connection id="171" xr16:uid="{F0DDEFA3-0BB3-4D36-8A95-76B62BAAE118}" keepAlive="1" name="連線1150" type="5" refreshedVersion="0" background="1">
    <dbPr connection="Provider=Microsoft.Mashup.OleDb.1;Data Source=$Workbook$;Location=&quot;Table_2882_113_01&quot;;Extended Properties=&quot;&quot;" commandType="0"/>
  </connection>
  <connection id="172" xr16:uid="{A7802F52-AA71-49B0-B6CB-B3A56F46CBFC}" keepAlive="1" name="連線1151" type="5" refreshedVersion="0" background="1">
    <dbPr connection="Provider=Microsoft.Mashup.OleDb.1;Data Source=$Workbook$;Location=&quot;Table_2330_113_03&quot;;Extended Properties=&quot;&quot;" commandType="0"/>
  </connection>
  <connection id="173" xr16:uid="{8591A6F1-F40F-46C0-8FE8-7A295394490D}" keepAlive="1" name="連線1152" type="5" refreshedVersion="0" background="1">
    <dbPr connection="Provider=Microsoft.Mashup.OleDb.1;Data Source=$Workbook$;Location=&quot;Table_2330_113_02&quot;;Extended Properties=&quot;&quot;" commandType="0"/>
  </connection>
  <connection id="174" xr16:uid="{78FFF9E2-9571-4B7A-B9C5-D141D2EE6E6B}" keepAlive="1" name="連線1153" type="5" refreshedVersion="0" background="1">
    <dbPr connection="Provider=Microsoft.Mashup.OleDb.1;Data Source=$Workbook$;Location=&quot;Table_2330_113_01&quot;;Extended Properties=&quot;&quot;" commandType="0"/>
  </connection>
  <connection id="175" xr16:uid="{29A77476-2AE2-42C4-BE7C-5EFA37195CD6}" keepAlive="1" name="連線1154" type="5" refreshedVersion="0" background="1">
    <dbPr connection="Provider=Microsoft.Mashup.OleDb.1;Data Source=$Workbook$;Location=&quot;Table_1101_113_03&quot;;Extended Properties=&quot;&quot;" commandType="0"/>
  </connection>
  <connection id="176" xr16:uid="{1194FA96-F7D0-4A9D-A051-86B686CF29F6}" keepAlive="1" name="連線1155" type="5" refreshedVersion="0" background="1">
    <dbPr connection="Provider=Microsoft.Mashup.OleDb.1;Data Source=$Workbook$;Location=&quot;Table_1101_113_02&quot;;Extended Properties=&quot;&quot;" commandType="0"/>
  </connection>
  <connection id="177" xr16:uid="{582E4DB1-7A6B-4004-B4E9-D02AC0F9D7C6}" keepAlive="1" name="連線1156" type="5" refreshedVersion="0" background="1">
    <dbPr connection="Provider=Microsoft.Mashup.OleDb.1;Data Source=$Workbook$;Location=&quot;Table_1101_113_01&quot;;Extended Properties=&quot;&quot;" commandType="0"/>
  </connection>
  <connection id="178" xr16:uid="{35A86D4B-2686-4843-86D4-6330102A75A8}" keepAlive="1" name="連線1157" type="5" refreshedVersion="0" background="1">
    <dbPr connection="Provider=Microsoft.Mashup.OleDb.1;Data Source=$Workbook$;Location=&quot;Table_2912_113_03&quot;;Extended Properties=&quot;&quot;" commandType="0"/>
  </connection>
  <connection id="179" xr16:uid="{9AE3EEB9-D9FC-42A1-A6D9-859C44EB51E3}" keepAlive="1" name="連線1158" type="5" refreshedVersion="0" background="1">
    <dbPr connection="Provider=Microsoft.Mashup.OleDb.1;Data Source=$Workbook$;Location=&quot;Table_2912_113_02&quot;;Extended Properties=&quot;&quot;" commandType="0"/>
  </connection>
  <connection id="180" xr16:uid="{869E5DF9-B69E-4B8C-97C9-CE04B039491C}" keepAlive="1" name="連線1159" type="5" refreshedVersion="0" background="1">
    <dbPr connection="Provider=Microsoft.Mashup.OleDb.1;Data Source=$Workbook$;Location=&quot;Table_2912_113_01&quot;;Extended Properties=&quot;&quot;" commandType="0"/>
  </connection>
  <connection id="181" xr16:uid="{EBD50887-2731-49CE-9C8A-9CE481012843}" keepAlive="1" name="連線116" type="5" refreshedVersion="0" background="1">
    <dbPr connection="Provider=Microsoft.Mashup.OleDb.1;Data Source=$Workbook$;Location=&quot;Table_2330_113_02&quot;;Extended Properties=&quot;&quot;" commandType="0"/>
  </connection>
  <connection id="182" xr16:uid="{95B0CA37-E379-46A5-86A1-AC6019435A5F}" keepAlive="1" name="連線1160" type="5" refreshedVersion="0" background="1">
    <dbPr connection="Provider=Microsoft.Mashup.OleDb.1;Data Source=$Workbook$;Location=&quot;Table_2002_113_03&quot;;Extended Properties=&quot;&quot;" commandType="0"/>
  </connection>
  <connection id="183" xr16:uid="{1472618D-2E6E-49E3-8171-760D7164F711}" keepAlive="1" name="連線1161" type="5" refreshedVersion="0" background="1">
    <dbPr connection="Provider=Microsoft.Mashup.OleDb.1;Data Source=$Workbook$;Location=&quot;Table_2002_113_02&quot;;Extended Properties=&quot;&quot;" commandType="0"/>
  </connection>
  <connection id="184" xr16:uid="{C9228D3E-451A-4E5A-A08D-0C562733E4D5}" keepAlive="1" name="連線1162" type="5" refreshedVersion="0" background="1">
    <dbPr connection="Provider=Microsoft.Mashup.OleDb.1;Data Source=$Workbook$;Location=&quot;Table_2002_113_01&quot;;Extended Properties=&quot;&quot;" commandType="0"/>
  </connection>
  <connection id="185" xr16:uid="{C74DF17C-2E57-484F-B83E-C13DCA10D54D}" keepAlive="1" name="連線1163" type="5" refreshedVersion="0" background="1">
    <dbPr connection="Provider=Microsoft.Mashup.OleDb.1;Data Source=$Workbook$;Location=&quot;Table_2882_113_03&quot;;Extended Properties=&quot;&quot;" commandType="0"/>
  </connection>
  <connection id="186" xr16:uid="{2791B79C-E590-4D0A-93BC-F4803222E563}" keepAlive="1" name="連線1164" type="5" refreshedVersion="0" background="1">
    <dbPr connection="Provider=Microsoft.Mashup.OleDb.1;Data Source=$Workbook$;Location=&quot;Table_2882_113_02&quot;;Extended Properties=&quot;&quot;" commandType="0"/>
  </connection>
  <connection id="187" xr16:uid="{B8D4C4EA-70FD-4651-A489-2A790B9AA963}" keepAlive="1" name="連線1165" type="5" refreshedVersion="0" background="1">
    <dbPr connection="Provider=Microsoft.Mashup.OleDb.1;Data Source=$Workbook$;Location=&quot;Table_2882_113_01&quot;;Extended Properties=&quot;&quot;" commandType="0"/>
  </connection>
  <connection id="188" xr16:uid="{CBF2C4CB-F1AB-4D82-988D-51F02B97955F}" keepAlive="1" name="連線1166" type="5" refreshedVersion="0" background="1">
    <dbPr connection="Provider=Microsoft.Mashup.OleDb.1;Data Source=$Workbook$;Location=&quot;Table_2330_113_03&quot;;Extended Properties=&quot;&quot;" commandType="0"/>
  </connection>
  <connection id="189" xr16:uid="{56D7D31A-686C-444E-8283-DE49ED68EC8B}" keepAlive="1" name="連線1167" type="5" refreshedVersion="0" background="1">
    <dbPr connection="Provider=Microsoft.Mashup.OleDb.1;Data Source=$Workbook$;Location=&quot;Table_2330_113_02&quot;;Extended Properties=&quot;&quot;" commandType="0"/>
  </connection>
  <connection id="190" xr16:uid="{528D9B58-C1EA-4CEE-9900-430D94E1A39D}" keepAlive="1" name="連線1168" type="5" refreshedVersion="0" background="1">
    <dbPr connection="Provider=Microsoft.Mashup.OleDb.1;Data Source=$Workbook$;Location=&quot;Table_2330_113_01&quot;;Extended Properties=&quot;&quot;" commandType="0"/>
  </connection>
  <connection id="191" xr16:uid="{65AD6A8F-8A28-422B-9760-8C541FF3A561}" keepAlive="1" name="連線1169" type="5" refreshedVersion="0" background="1">
    <dbPr connection="Provider=Microsoft.Mashup.OleDb.1;Data Source=$Workbook$;Location=&quot;Table_1101_113_03&quot;;Extended Properties=&quot;&quot;" commandType="0"/>
  </connection>
  <connection id="192" xr16:uid="{55EB220B-CD84-4E1D-9E37-36B159EDA9F4}" keepAlive="1" name="連線117" type="5" refreshedVersion="0" background="1">
    <dbPr connection="Provider=Microsoft.Mashup.OleDb.1;Data Source=$Workbook$;Location=&quot;Table_2330_113_03&quot;;Extended Properties=&quot;&quot;" commandType="0"/>
  </connection>
  <connection id="193" xr16:uid="{E889EFB3-D096-4CC2-84C0-E98D745E9B2B}" keepAlive="1" name="連線1170" type="5" refreshedVersion="0" background="1">
    <dbPr connection="Provider=Microsoft.Mashup.OleDb.1;Data Source=$Workbook$;Location=&quot;Table_1101_113_02&quot;;Extended Properties=&quot;&quot;" commandType="0"/>
  </connection>
  <connection id="194" xr16:uid="{E90D3252-53BA-460C-BE25-E30C085FD325}" keepAlive="1" name="連線1171" type="5" refreshedVersion="0" background="1">
    <dbPr connection="Provider=Microsoft.Mashup.OleDb.1;Data Source=$Workbook$;Location=&quot;Table_1101_113_01&quot;;Extended Properties=&quot;&quot;" commandType="0"/>
  </connection>
  <connection id="195" xr16:uid="{FCADE8DA-F7E5-4088-BC90-7F1687D65457}" keepAlive="1" name="連線1172" type="5" refreshedVersion="0" background="1">
    <dbPr connection="Provider=Microsoft.Mashup.OleDb.1;Data Source=$Workbook$;Location=&quot;Table_2912_113_03&quot;;Extended Properties=&quot;&quot;" commandType="0"/>
  </connection>
  <connection id="196" xr16:uid="{9B858377-1D6F-4048-B053-63E9ADB390C3}" keepAlive="1" name="連線1173" type="5" refreshedVersion="0" background="1">
    <dbPr connection="Provider=Microsoft.Mashup.OleDb.1;Data Source=$Workbook$;Location=&quot;Table_2912_113_02&quot;;Extended Properties=&quot;&quot;" commandType="0"/>
  </connection>
  <connection id="197" xr16:uid="{207FF36A-3EE9-4567-AC11-4187E16AF4C6}" keepAlive="1" name="連線1174" type="5" refreshedVersion="0" background="1">
    <dbPr connection="Provider=Microsoft.Mashup.OleDb.1;Data Source=$Workbook$;Location=&quot;Table_2912_113_01&quot;;Extended Properties=&quot;&quot;" commandType="0"/>
  </connection>
  <connection id="198" xr16:uid="{6087F039-0861-4508-AA24-3C83F3630802}" keepAlive="1" name="連線1175" type="5" refreshedVersion="0" background="1">
    <dbPr connection="Provider=Microsoft.Mashup.OleDb.1;Data Source=$Workbook$;Location=&quot;Table_2002_113_03&quot;;Extended Properties=&quot;&quot;" commandType="0"/>
  </connection>
  <connection id="199" xr16:uid="{C6C14D62-044E-4EF4-9F95-1226CE1CC54C}" keepAlive="1" name="連線1176" type="5" refreshedVersion="0" background="1">
    <dbPr connection="Provider=Microsoft.Mashup.OleDb.1;Data Source=$Workbook$;Location=&quot;Table_2002_113_02&quot;;Extended Properties=&quot;&quot;" commandType="0"/>
  </connection>
  <connection id="200" xr16:uid="{7A9E010E-31FD-46A4-ADA3-B1EE85D83EFF}" keepAlive="1" name="連線1177" type="5" refreshedVersion="0" background="1">
    <dbPr connection="Provider=Microsoft.Mashup.OleDb.1;Data Source=$Workbook$;Location=&quot;Table_2002_113_01&quot;;Extended Properties=&quot;&quot;" commandType="0"/>
  </connection>
  <connection id="201" xr16:uid="{0182A6DB-3302-4AAC-8C14-47B85DC7BF8D}" keepAlive="1" name="連線1178" type="5" refreshedVersion="0" background="1">
    <dbPr connection="Provider=Microsoft.Mashup.OleDb.1;Data Source=$Workbook$;Location=&quot;Table_2882_113_03&quot;;Extended Properties=&quot;&quot;" commandType="0"/>
  </connection>
  <connection id="202" xr16:uid="{6C51CABC-3E0A-46FB-A670-C7611215B326}" keepAlive="1" name="連線1179" type="5" refreshedVersion="0" background="1">
    <dbPr connection="Provider=Microsoft.Mashup.OleDb.1;Data Source=$Workbook$;Location=&quot;Table_2882_113_02&quot;;Extended Properties=&quot;&quot;" commandType="0"/>
  </connection>
  <connection id="203" xr16:uid="{F1BE73A7-236B-41DD-9245-78B6B29AB9F4}" keepAlive="1" name="連線118" type="5" refreshedVersion="0" background="1">
    <dbPr connection="Provider=Microsoft.Mashup.OleDb.1;Data Source=$Workbook$;Location=&quot;Table_2002_113_01&quot;;Extended Properties=&quot;&quot;" commandType="0"/>
  </connection>
  <connection id="204" xr16:uid="{D356D692-A521-4972-9099-4EE13886B611}" keepAlive="1" name="連線1180" type="5" refreshedVersion="0" background="1">
    <dbPr connection="Provider=Microsoft.Mashup.OleDb.1;Data Source=$Workbook$;Location=&quot;Table_2882_113_01&quot;;Extended Properties=&quot;&quot;" commandType="0"/>
  </connection>
  <connection id="205" xr16:uid="{BCCB4114-44A5-4D81-9D45-8BDE1B8397F2}" keepAlive="1" name="連線1181" type="5" refreshedVersion="0" background="1">
    <dbPr connection="Provider=Microsoft.Mashup.OleDb.1;Data Source=$Workbook$;Location=&quot;Table_2330_113_03&quot;;Extended Properties=&quot;&quot;" commandType="0"/>
  </connection>
  <connection id="206" xr16:uid="{F677ED14-6E7F-46F7-966B-F9E84FC7BB74}" keepAlive="1" name="連線1182" type="5" refreshedVersion="0" background="1">
    <dbPr connection="Provider=Microsoft.Mashup.OleDb.1;Data Source=$Workbook$;Location=&quot;Table_2330_113_02&quot;;Extended Properties=&quot;&quot;" commandType="0"/>
  </connection>
  <connection id="207" xr16:uid="{E76DCC2A-F057-4CC5-AD2C-D025C1AE386F}" keepAlive="1" name="連線1183" type="5" refreshedVersion="0" background="1">
    <dbPr connection="Provider=Microsoft.Mashup.OleDb.1;Data Source=$Workbook$;Location=&quot;Table_2330_113_01&quot;;Extended Properties=&quot;&quot;" commandType="0"/>
  </connection>
  <connection id="208" xr16:uid="{9E88B885-83BD-4228-B814-186C29D9227B}" keepAlive="1" name="連線1184" type="5" refreshedVersion="0" background="1">
    <dbPr connection="Provider=Microsoft.Mashup.OleDb.1;Data Source=$Workbook$;Location=&quot;Table_1101_113_03&quot;;Extended Properties=&quot;&quot;" commandType="0"/>
  </connection>
  <connection id="209" xr16:uid="{43D9EEAF-77FD-47A3-9038-6659B3AD438A}" keepAlive="1" name="連線1185" type="5" refreshedVersion="0" background="1">
    <dbPr connection="Provider=Microsoft.Mashup.OleDb.1;Data Source=$Workbook$;Location=&quot;Table_1101_113_02&quot;;Extended Properties=&quot;&quot;" commandType="0"/>
  </connection>
  <connection id="210" xr16:uid="{410D19A6-7E76-4BF3-9149-DD834329867C}" keepAlive="1" name="連線1186" type="5" refreshedVersion="0" background="1">
    <dbPr connection="Provider=Microsoft.Mashup.OleDb.1;Data Source=$Workbook$;Location=&quot;Table_1101_113_01&quot;;Extended Properties=&quot;&quot;" commandType="0"/>
  </connection>
  <connection id="211" xr16:uid="{88081035-2FEA-4A18-92E2-81C4B5FDC4E8}" keepAlive="1" name="連線1187" type="5" refreshedVersion="0" background="1">
    <dbPr connection="Provider=Microsoft.Mashup.OleDb.1;Data Source=$Workbook$;Location=&quot;Table_2912_113_03&quot;;Extended Properties=&quot;&quot;" commandType="0"/>
  </connection>
  <connection id="212" xr16:uid="{D44DB2D9-8E7B-4313-8721-8CEACF9E5144}" keepAlive="1" name="連線1188" type="5" refreshedVersion="0" background="1">
    <dbPr connection="Provider=Microsoft.Mashup.OleDb.1;Data Source=$Workbook$;Location=&quot;Table_2912_113_02&quot;;Extended Properties=&quot;&quot;" commandType="0"/>
  </connection>
  <connection id="213" xr16:uid="{0E555FCF-6AE1-4E66-B5CE-EF73E21A126C}" keepAlive="1" name="連線1189" type="5" refreshedVersion="0" background="1">
    <dbPr connection="Provider=Microsoft.Mashup.OleDb.1;Data Source=$Workbook$;Location=&quot;Table_2912_113_01&quot;;Extended Properties=&quot;&quot;" commandType="0"/>
  </connection>
  <connection id="214" xr16:uid="{3E37DEF5-EBE4-4555-B565-943B8C196AFB}" keepAlive="1" name="連線119" type="5" refreshedVersion="0" background="1">
    <dbPr connection="Provider=Microsoft.Mashup.OleDb.1;Data Source=$Workbook$;Location=&quot;Table_2002_113_02&quot;;Extended Properties=&quot;&quot;" commandType="0"/>
  </connection>
  <connection id="215" xr16:uid="{ACAFF8C4-AC07-4AF9-93F8-FDDEFC8A0679}" keepAlive="1" name="連線1190" type="5" refreshedVersion="0" background="1">
    <dbPr connection="Provider=Microsoft.Mashup.OleDb.1;Data Source=$Workbook$;Location=&quot;Table_2002_113_03&quot;;Extended Properties=&quot;&quot;" commandType="0"/>
  </connection>
  <connection id="216" xr16:uid="{6855B592-5710-45E7-9756-FDB19F172163}" keepAlive="1" name="連線1191" type="5" refreshedVersion="0" background="1">
    <dbPr connection="Provider=Microsoft.Mashup.OleDb.1;Data Source=$Workbook$;Location=&quot;Table_2002_113_02&quot;;Extended Properties=&quot;&quot;" commandType="0"/>
  </connection>
  <connection id="217" xr16:uid="{B7B85B2C-4223-4338-8C6C-C32D45B03B30}" keepAlive="1" name="連線1192" type="5" refreshedVersion="0" background="1">
    <dbPr connection="Provider=Microsoft.Mashup.OleDb.1;Data Source=$Workbook$;Location=&quot;Table_2002_113_01&quot;;Extended Properties=&quot;&quot;" commandType="0"/>
  </connection>
  <connection id="218" xr16:uid="{A520EE64-FA23-4D85-8E44-A2E1303DC42D}" keepAlive="1" name="連線1193" type="5" refreshedVersion="0" background="1">
    <dbPr connection="Provider=Microsoft.Mashup.OleDb.1;Data Source=$Workbook$;Location=&quot;Table_2882_113_03&quot;;Extended Properties=&quot;&quot;" commandType="0"/>
  </connection>
  <connection id="219" xr16:uid="{4E62746B-868C-4F62-BD8F-2C65FBCDD8A0}" keepAlive="1" name="連線1194" type="5" refreshedVersion="0" background="1">
    <dbPr connection="Provider=Microsoft.Mashup.OleDb.1;Data Source=$Workbook$;Location=&quot;Table_2882_113_02&quot;;Extended Properties=&quot;&quot;" commandType="0"/>
  </connection>
  <connection id="220" xr16:uid="{7DC83619-AB24-48E6-A3E6-0DB32F9B466A}" keepAlive="1" name="連線1195" type="5" refreshedVersion="0" background="1">
    <dbPr connection="Provider=Microsoft.Mashup.OleDb.1;Data Source=$Workbook$;Location=&quot;Table_2882_113_01&quot;;Extended Properties=&quot;&quot;" commandType="0"/>
  </connection>
  <connection id="221" xr16:uid="{6F9B59B7-DEF3-4BC0-B5CC-854003DEF3B9}" keepAlive="1" name="連線1196" type="5" refreshedVersion="0" background="1">
    <dbPr connection="Provider=Microsoft.Mashup.OleDb.1;Data Source=$Workbook$;Location=&quot;Table_2330_113_03&quot;;Extended Properties=&quot;&quot;" commandType="0"/>
  </connection>
  <connection id="222" xr16:uid="{152A61FA-B797-42B7-B183-68212F134D7C}" keepAlive="1" name="連線1197" type="5" refreshedVersion="0" background="1">
    <dbPr connection="Provider=Microsoft.Mashup.OleDb.1;Data Source=$Workbook$;Location=&quot;Table_2330_113_02&quot;;Extended Properties=&quot;&quot;" commandType="0"/>
  </connection>
  <connection id="223" xr16:uid="{7BF43F42-49A5-4B5E-A253-6ED9ACEC10E7}" keepAlive="1" name="連線1198" type="5" refreshedVersion="0" background="1">
    <dbPr connection="Provider=Microsoft.Mashup.OleDb.1;Data Source=$Workbook$;Location=&quot;Table_2330_113_01&quot;;Extended Properties=&quot;&quot;" commandType="0"/>
  </connection>
  <connection id="224" xr16:uid="{C9D4BDCD-4519-4BA0-8ABC-44E95631585C}" keepAlive="1" name="連線1199" type="5" refreshedVersion="0" background="1">
    <dbPr connection="Provider=Microsoft.Mashup.OleDb.1;Data Source=$Workbook$;Location=&quot;Table_1101_113_03&quot;;Extended Properties=&quot;&quot;" commandType="0"/>
  </connection>
  <connection id="225" xr16:uid="{4A025449-1676-4D05-8218-05CBC2B0F5CD}" keepAlive="1" name="連線12" type="5" refreshedVersion="0" background="1">
    <dbPr connection="Provider=Microsoft.Mashup.OleDb.1;Data Source=$Workbook$;Location=&quot;Table 5&quot;;Extended Properties=&quot;&quot;" commandType="0"/>
  </connection>
  <connection id="226" xr16:uid="{66A12939-2162-436D-8707-1C33B4BC53B7}" keepAlive="1" name="連線120" type="5" refreshedVersion="0" background="1">
    <dbPr connection="Provider=Microsoft.Mashup.OleDb.1;Data Source=$Workbook$;Location=&quot;Table_2002_113_03&quot;;Extended Properties=&quot;&quot;" commandType="0"/>
  </connection>
  <connection id="227" xr16:uid="{D09634EB-EFFE-485C-B5A6-EBEDC9278D92}" keepAlive="1" name="連線1200" type="5" refreshedVersion="0" background="1">
    <dbPr connection="Provider=Microsoft.Mashup.OleDb.1;Data Source=$Workbook$;Location=&quot;Table_1101_113_02&quot;;Extended Properties=&quot;&quot;" commandType="0"/>
  </connection>
  <connection id="228" xr16:uid="{3843B1E3-A9B3-4B80-B6A5-8E43B042A054}" keepAlive="1" name="連線1201" type="5" refreshedVersion="0" background="1">
    <dbPr connection="Provider=Microsoft.Mashup.OleDb.1;Data Source=$Workbook$;Location=&quot;Table_1101_113_01&quot;;Extended Properties=&quot;&quot;" commandType="0"/>
  </connection>
  <connection id="229" xr16:uid="{E485D73D-A649-4057-87EA-2A90A792AFE1}" keepAlive="1" name="連線1202" type="5" refreshedVersion="0" background="1">
    <dbPr connection="Provider=Microsoft.Mashup.OleDb.1;Data Source=$Workbook$;Location=&quot;Table_2912_113_03&quot;;Extended Properties=&quot;&quot;" commandType="0"/>
  </connection>
  <connection id="230" xr16:uid="{3C601283-CBD3-4BFC-A976-037E6B6F6054}" keepAlive="1" name="連線1203" type="5" refreshedVersion="0" background="1">
    <dbPr connection="Provider=Microsoft.Mashup.OleDb.1;Data Source=$Workbook$;Location=&quot;Table_2912_113_02&quot;;Extended Properties=&quot;&quot;" commandType="0"/>
  </connection>
  <connection id="231" xr16:uid="{5D64AE2B-9725-4C0C-942A-30A5F7370EC3}" keepAlive="1" name="連線1204" type="5" refreshedVersion="0" background="1">
    <dbPr connection="Provider=Microsoft.Mashup.OleDb.1;Data Source=$Workbook$;Location=&quot;Table_2912_113_01&quot;;Extended Properties=&quot;&quot;" commandType="0"/>
  </connection>
  <connection id="232" xr16:uid="{1DE38816-3891-4AB2-87AC-2F3919FA70D0}" keepAlive="1" name="連線1205" type="5" refreshedVersion="0" background="1">
    <dbPr connection="Provider=Microsoft.Mashup.OleDb.1;Data Source=$Workbook$;Location=&quot;Table_2002_113_03&quot;;Extended Properties=&quot;&quot;" commandType="0"/>
  </connection>
  <connection id="233" xr16:uid="{DD7D176D-4F45-46FB-A17B-CF461E99852F}" keepAlive="1" name="連線1206" type="5" refreshedVersion="0" background="1">
    <dbPr connection="Provider=Microsoft.Mashup.OleDb.1;Data Source=$Workbook$;Location=&quot;Table_2002_113_02&quot;;Extended Properties=&quot;&quot;" commandType="0"/>
  </connection>
  <connection id="234" xr16:uid="{8F28F007-AB9B-4750-946A-51A8FF2F34E5}" keepAlive="1" name="連線1207" type="5" refreshedVersion="0" background="1">
    <dbPr connection="Provider=Microsoft.Mashup.OleDb.1;Data Source=$Workbook$;Location=&quot;Table_2002_113_01&quot;;Extended Properties=&quot;&quot;" commandType="0"/>
  </connection>
  <connection id="235" xr16:uid="{9EBE7F08-D1E6-4F75-85A9-FB8250157FD3}" keepAlive="1" name="連線1208" type="5" refreshedVersion="0" background="1">
    <dbPr connection="Provider=Microsoft.Mashup.OleDb.1;Data Source=$Workbook$;Location=&quot;Table_2882_113_03&quot;;Extended Properties=&quot;&quot;" commandType="0"/>
  </connection>
  <connection id="236" xr16:uid="{BEBC0F14-A486-4CB4-95F5-1DE53F59AFE0}" keepAlive="1" name="連線1209" type="5" refreshedVersion="0" background="1">
    <dbPr connection="Provider=Microsoft.Mashup.OleDb.1;Data Source=$Workbook$;Location=&quot;Table_2882_113_02&quot;;Extended Properties=&quot;&quot;" commandType="0"/>
  </connection>
  <connection id="237" xr16:uid="{524CA25E-FCBF-4FC1-B394-F2DFD775A5D3}" keepAlive="1" name="連線121" type="5" refreshedVersion="0" background="1">
    <dbPr connection="Provider=Microsoft.Mashup.OleDb.1;Data Source=$Workbook$;Location=&quot;Table_投資組合比重__&quot;;Extended Properties=&quot;&quot;" commandType="0"/>
  </connection>
  <connection id="238" xr16:uid="{AF94B48A-1F03-4FCE-A4CD-944CA3B1A26A}" keepAlive="1" name="連線1210" type="5" refreshedVersion="0" background="1">
    <dbPr connection="Provider=Microsoft.Mashup.OleDb.1;Data Source=$Workbook$;Location=&quot;Table_2882_113_01&quot;;Extended Properties=&quot;&quot;" commandType="0"/>
  </connection>
  <connection id="239" xr16:uid="{8F68FF9A-B263-4E17-B341-BA3666C59CF1}" keepAlive="1" name="連線1211" type="5" refreshedVersion="0" background="1">
    <dbPr connection="Provider=Microsoft.Mashup.OleDb.1;Data Source=$Workbook$;Location=&quot;Table_2330_113_03&quot;;Extended Properties=&quot;&quot;" commandType="0"/>
  </connection>
  <connection id="240" xr16:uid="{A50A2116-6E86-4194-B844-C82182324AFC}" keepAlive="1" name="連線1212" type="5" refreshedVersion="0" background="1">
    <dbPr connection="Provider=Microsoft.Mashup.OleDb.1;Data Source=$Workbook$;Location=&quot;Table_2330_113_02&quot;;Extended Properties=&quot;&quot;" commandType="0"/>
  </connection>
  <connection id="241" xr16:uid="{5EC00FA4-6336-41EB-A200-866134B78197}" keepAlive="1" name="連線1213" type="5" refreshedVersion="0" background="1">
    <dbPr connection="Provider=Microsoft.Mashup.OleDb.1;Data Source=$Workbook$;Location=&quot;Table_2330_113_01&quot;;Extended Properties=&quot;&quot;" commandType="0"/>
  </connection>
  <connection id="242" xr16:uid="{4E5048B9-8E7D-4A87-AC2C-32BAB8809B9B}" keepAlive="1" name="連線1214" type="5" refreshedVersion="0" background="1">
    <dbPr connection="Provider=Microsoft.Mashup.OleDb.1;Data Source=$Workbook$;Location=&quot;Table_1101_113_03&quot;;Extended Properties=&quot;&quot;" commandType="0"/>
  </connection>
  <connection id="243" xr16:uid="{EAF45652-97A9-49F1-AF26-23D88EC466C9}" keepAlive="1" name="連線1215" type="5" refreshedVersion="0" background="1">
    <dbPr connection="Provider=Microsoft.Mashup.OleDb.1;Data Source=$Workbook$;Location=&quot;Table_1101_113_02&quot;;Extended Properties=&quot;&quot;" commandType="0"/>
  </connection>
  <connection id="244" xr16:uid="{D344B33E-9895-4341-8203-8C1475D53053}" keepAlive="1" name="連線1216" type="5" refreshedVersion="0" background="1">
    <dbPr connection="Provider=Microsoft.Mashup.OleDb.1;Data Source=$Workbook$;Location=&quot;Table_1101_113_01&quot;;Extended Properties=&quot;&quot;" commandType="0"/>
  </connection>
  <connection id="245" xr16:uid="{CE2FD98C-F0DB-4FFB-9736-46CF7B271F5F}" keepAlive="1" name="連線1217" type="5" refreshedVersion="0" background="1">
    <dbPr connection="Provider=Microsoft.Mashup.OleDb.1;Data Source=$Workbook$;Location=&quot;Table_2912_113_03&quot;;Extended Properties=&quot;&quot;" commandType="0"/>
  </connection>
  <connection id="246" xr16:uid="{592AA6CC-9B83-49A3-8661-AE2CA63B0F12}" keepAlive="1" name="連線1218" type="5" refreshedVersion="0" background="1">
    <dbPr connection="Provider=Microsoft.Mashup.OleDb.1;Data Source=$Workbook$;Location=&quot;Table_2912_113_02&quot;;Extended Properties=&quot;&quot;" commandType="0"/>
  </connection>
  <connection id="247" xr16:uid="{39246F3D-8708-442F-9A5E-418B2DEA85E5}" keepAlive="1" name="連線1219" type="5" refreshedVersion="0" background="1">
    <dbPr connection="Provider=Microsoft.Mashup.OleDb.1;Data Source=$Workbook$;Location=&quot;Table_2912_113_01&quot;;Extended Properties=&quot;&quot;" commandType="0"/>
  </connection>
  <connection id="248" xr16:uid="{EDCEC57F-FA4E-4484-A823-D63835C89A32}" keepAlive="1" name="連線122" type="5" refreshedVersion="0" background="1">
    <dbPr connection="Provider=Microsoft.Mashup.OleDb.1;Data Source=$Workbook$;Location=&quot;Table_2330_113_01&quot;;Extended Properties=&quot;&quot;" commandType="0"/>
  </connection>
  <connection id="249" xr16:uid="{D4B09356-6DDD-4CFB-8F6E-847B3FA5E0A4}" keepAlive="1" name="連線1220" type="5" refreshedVersion="0" background="1">
    <dbPr connection="Provider=Microsoft.Mashup.OleDb.1;Data Source=$Workbook$;Location=&quot;Table_2002_113_03&quot;;Extended Properties=&quot;&quot;" commandType="0"/>
  </connection>
  <connection id="250" xr16:uid="{E00F1030-2864-46CB-A197-DB486901B0BF}" keepAlive="1" name="連線1221" type="5" refreshedVersion="0" background="1">
    <dbPr connection="Provider=Microsoft.Mashup.OleDb.1;Data Source=$Workbook$;Location=&quot;Table_2002_113_02&quot;;Extended Properties=&quot;&quot;" commandType="0"/>
  </connection>
  <connection id="251" xr16:uid="{40F8C109-B13F-48AC-9DE6-2EEBDC65E4B2}" keepAlive="1" name="連線1222" type="5" refreshedVersion="0" background="1">
    <dbPr connection="Provider=Microsoft.Mashup.OleDb.1;Data Source=$Workbook$;Location=&quot;Table_2002_113_01&quot;;Extended Properties=&quot;&quot;" commandType="0"/>
  </connection>
  <connection id="252" xr16:uid="{F514674D-EB56-4A27-B4F6-FE5A58C3AE0B}" keepAlive="1" name="連線1223" type="5" refreshedVersion="0" background="1">
    <dbPr connection="Provider=Microsoft.Mashup.OleDb.1;Data Source=$Workbook$;Location=&quot;Table_2882_113_03&quot;;Extended Properties=&quot;&quot;" commandType="0"/>
  </connection>
  <connection id="253" xr16:uid="{9F683B9E-2307-41A2-95C0-AD6D7D51DABE}" keepAlive="1" name="連線1224" type="5" refreshedVersion="0" background="1">
    <dbPr connection="Provider=Microsoft.Mashup.OleDb.1;Data Source=$Workbook$;Location=&quot;Table_2882_113_02&quot;;Extended Properties=&quot;&quot;" commandType="0"/>
  </connection>
  <connection id="254" xr16:uid="{835E1D7E-4AB7-4F1A-B593-557A5555E2D7}" keepAlive="1" name="連線1225" type="5" refreshedVersion="0" background="1">
    <dbPr connection="Provider=Microsoft.Mashup.OleDb.1;Data Source=$Workbook$;Location=&quot;Table_2882_113_01&quot;;Extended Properties=&quot;&quot;" commandType="0"/>
  </connection>
  <connection id="255" xr16:uid="{C03DB198-B404-4BC6-A583-1E75CAF10B3F}" keepAlive="1" name="連線1226" type="5" refreshedVersion="0" background="1">
    <dbPr connection="Provider=Microsoft.Mashup.OleDb.1;Data Source=$Workbook$;Location=&quot;Table_2330_113_03&quot;;Extended Properties=&quot;&quot;" commandType="0"/>
  </connection>
  <connection id="256" xr16:uid="{A6BF988B-43AB-420F-B9B0-DB09B1134BC1}" keepAlive="1" name="連線1227" type="5" refreshedVersion="0" background="1">
    <dbPr connection="Provider=Microsoft.Mashup.OleDb.1;Data Source=$Workbook$;Location=&quot;Table_2330_113_02&quot;;Extended Properties=&quot;&quot;" commandType="0"/>
  </connection>
  <connection id="257" xr16:uid="{D43B3EA1-CCC1-4161-BB37-91A6125BCDDF}" keepAlive="1" name="連線1228" type="5" refreshedVersion="0" background="1">
    <dbPr connection="Provider=Microsoft.Mashup.OleDb.1;Data Source=$Workbook$;Location=&quot;Table_2330_113_01&quot;;Extended Properties=&quot;&quot;" commandType="0"/>
  </connection>
  <connection id="258" xr16:uid="{0920AB30-55F2-41C8-AE53-AC79846D4987}" keepAlive="1" name="連線1229" type="5" refreshedVersion="0" background="1">
    <dbPr connection="Provider=Microsoft.Mashup.OleDb.1;Data Source=$Workbook$;Location=&quot;Table_1101_113_03&quot;;Extended Properties=&quot;&quot;" commandType="0"/>
  </connection>
  <connection id="259" xr16:uid="{63E63CE1-71F5-48A0-AE88-801051196882}" keepAlive="1" name="連線123" type="5" refreshedVersion="0" background="1">
    <dbPr connection="Provider=Microsoft.Mashup.OleDb.1;Data Source=$Workbook$;Location=&quot;Table_2330_113_02&quot;;Extended Properties=&quot;&quot;" commandType="0"/>
  </connection>
  <connection id="260" xr16:uid="{BE0159B3-059D-4506-84D3-C602CEF9CDBC}" keepAlive="1" name="連線1230" type="5" refreshedVersion="0" background="1">
    <dbPr connection="Provider=Microsoft.Mashup.OleDb.1;Data Source=$Workbook$;Location=&quot;Table_1101_113_02&quot;;Extended Properties=&quot;&quot;" commandType="0"/>
  </connection>
  <connection id="261" xr16:uid="{6819E7E2-C1A4-4E40-BFE5-5012170B09BA}" keepAlive="1" name="連線1231" type="5" refreshedVersion="0" background="1">
    <dbPr connection="Provider=Microsoft.Mashup.OleDb.1;Data Source=$Workbook$;Location=&quot;Table_1101_113_01&quot;;Extended Properties=&quot;&quot;" commandType="0"/>
  </connection>
  <connection id="262" xr16:uid="{B36FD557-F73F-4E00-9790-3C13BE600CE8}" keepAlive="1" name="連線1232" type="5" refreshedVersion="0" background="1">
    <dbPr connection="Provider=Microsoft.Mashup.OleDb.1;Data Source=$Workbook$;Location=&quot;Table_2912_113_03&quot;;Extended Properties=&quot;&quot;" commandType="0"/>
  </connection>
  <connection id="263" xr16:uid="{D897B892-C34D-4288-803C-6182F6C714D4}" keepAlive="1" name="連線1233" type="5" refreshedVersion="0" background="1">
    <dbPr connection="Provider=Microsoft.Mashup.OleDb.1;Data Source=$Workbook$;Location=&quot;Table_2912_113_02&quot;;Extended Properties=&quot;&quot;" commandType="0"/>
  </connection>
  <connection id="264" xr16:uid="{43B62BCA-17A9-4808-B134-39D960662125}" keepAlive="1" name="連線1234" type="5" refreshedVersion="0" background="1">
    <dbPr connection="Provider=Microsoft.Mashup.OleDb.1;Data Source=$Workbook$;Location=&quot;Table_2912_113_01&quot;;Extended Properties=&quot;&quot;" commandType="0"/>
  </connection>
  <connection id="265" xr16:uid="{84AE1C30-A25C-4B04-A367-F3A541C9F0AD}" keepAlive="1" name="連線1235" type="5" refreshedVersion="0" background="1">
    <dbPr connection="Provider=Microsoft.Mashup.OleDb.1;Data Source=$Workbook$;Location=&quot;Table_2002_113_03&quot;;Extended Properties=&quot;&quot;" commandType="0"/>
  </connection>
  <connection id="266" xr16:uid="{5BC36F27-3234-45E1-A716-68C90D02ED5A}" keepAlive="1" name="連線1236" type="5" refreshedVersion="0" background="1">
    <dbPr connection="Provider=Microsoft.Mashup.OleDb.1;Data Source=$Workbook$;Location=&quot;Table_2002_113_02&quot;;Extended Properties=&quot;&quot;" commandType="0"/>
  </connection>
  <connection id="267" xr16:uid="{0C89EF4F-8847-4AA7-9B20-638A6E6B5E73}" keepAlive="1" name="連線1237" type="5" refreshedVersion="0" background="1">
    <dbPr connection="Provider=Microsoft.Mashup.OleDb.1;Data Source=$Workbook$;Location=&quot;Table_2002_113_01&quot;;Extended Properties=&quot;&quot;" commandType="0"/>
  </connection>
  <connection id="268" xr16:uid="{BAF08A08-55C0-4787-A1E3-3A42A58F5D58}" keepAlive="1" name="連線1238" type="5" refreshedVersion="0" background="1">
    <dbPr connection="Provider=Microsoft.Mashup.OleDb.1;Data Source=$Workbook$;Location=&quot;Table_2882_113_03&quot;;Extended Properties=&quot;&quot;" commandType="0"/>
  </connection>
  <connection id="269" xr16:uid="{BC5411CF-5216-43E4-8114-92DDEAE0904F}" keepAlive="1" name="連線1239" type="5" refreshedVersion="0" background="1">
    <dbPr connection="Provider=Microsoft.Mashup.OleDb.1;Data Source=$Workbook$;Location=&quot;Table_2882_113_02&quot;;Extended Properties=&quot;&quot;" commandType="0"/>
  </connection>
  <connection id="270" xr16:uid="{C451D1DD-9FE0-447C-A8BC-63FE81F9EC69}" keepAlive="1" name="連線124" type="5" refreshedVersion="0" background="1">
    <dbPr connection="Provider=Microsoft.Mashup.OleDb.1;Data Source=$Workbook$;Location=&quot;Table_2330_113_03&quot;;Extended Properties=&quot;&quot;" commandType="0"/>
  </connection>
  <connection id="271" xr16:uid="{5B224E82-96FC-4F10-818F-D7F4AD0920EE}" keepAlive="1" name="連線1240" type="5" refreshedVersion="0" background="1">
    <dbPr connection="Provider=Microsoft.Mashup.OleDb.1;Data Source=$Workbook$;Location=&quot;Table_2882_113_01&quot;;Extended Properties=&quot;&quot;" commandType="0"/>
  </connection>
  <connection id="272" xr16:uid="{2B1DDFFB-7E6B-4CF3-99E3-34CFA825A474}" keepAlive="1" name="連線1241" type="5" refreshedVersion="0" background="1">
    <dbPr connection="Provider=Microsoft.Mashup.OleDb.1;Data Source=$Workbook$;Location=&quot;Table_2002_113_03&quot;;Extended Properties=&quot;&quot;" commandType="0"/>
  </connection>
  <connection id="273" xr16:uid="{A6FAAA7E-4344-4638-A5B9-0B4B3AE75297}" keepAlive="1" name="連線1242" type="5" refreshedVersion="0" background="1">
    <dbPr connection="Provider=Microsoft.Mashup.OleDb.1;Data Source=$Workbook$;Location=&quot;Table_2002_113_02&quot;;Extended Properties=&quot;&quot;" commandType="0"/>
  </connection>
  <connection id="274" xr16:uid="{05E357F9-1A8F-4EE1-AA6D-3CE219DE30DD}" keepAlive="1" name="連線1243" type="5" refreshedVersion="0" background="1">
    <dbPr connection="Provider=Microsoft.Mashup.OleDb.1;Data Source=$Workbook$;Location=&quot;Table_2002_113_01&quot;;Extended Properties=&quot;&quot;" commandType="0"/>
  </connection>
  <connection id="275" xr16:uid="{54F05CB4-205C-4629-89FB-D0491753AC75}" keepAlive="1" name="連線1244" type="5" refreshedVersion="0" background="1">
    <dbPr connection="Provider=Microsoft.Mashup.OleDb.1;Data Source=$Workbook$;Location=&quot;Table_1101_113_03&quot;;Extended Properties=&quot;&quot;" commandType="0"/>
  </connection>
  <connection id="276" xr16:uid="{C272EFEA-F8F3-4E38-9487-05BE6C1E78DB}" keepAlive="1" name="連線1245" type="5" refreshedVersion="0" background="1">
    <dbPr connection="Provider=Microsoft.Mashup.OleDb.1;Data Source=$Workbook$;Location=&quot;Table_1101_113_02&quot;;Extended Properties=&quot;&quot;" commandType="0"/>
  </connection>
  <connection id="277" xr16:uid="{E4DA81D1-CA3D-400D-994F-DBAD6FA386E1}" keepAlive="1" name="連線1246" type="5" refreshedVersion="0" background="1">
    <dbPr connection="Provider=Microsoft.Mashup.OleDb.1;Data Source=$Workbook$;Location=&quot;Table_1101_113_01&quot;;Extended Properties=&quot;&quot;" commandType="0"/>
  </connection>
  <connection id="278" xr16:uid="{912D2036-55D3-42CE-8A54-09E7D992DB80}" keepAlive="1" name="連線1247" type="5" refreshedVersion="0" background="1">
    <dbPr connection="Provider=Microsoft.Mashup.OleDb.1;Data Source=$Workbook$;Location=&quot;Table_4763_113_03&quot;;Extended Properties=&quot;&quot;" commandType="0"/>
  </connection>
  <connection id="279" xr16:uid="{FBC24C40-E315-4A4C-AB46-39958DE4090C}" keepAlive="1" name="連線1248" type="5" refreshedVersion="0" background="1">
    <dbPr connection="Provider=Microsoft.Mashup.OleDb.1;Data Source=$Workbook$;Location=&quot;Table_4763_113_02&quot;;Extended Properties=&quot;&quot;" commandType="0"/>
  </connection>
  <connection id="280" xr16:uid="{624FBE38-54DF-458F-8ABF-CA5190EE9C47}" keepAlive="1" name="連線1249" type="5" refreshedVersion="0" background="1">
    <dbPr connection="Provider=Microsoft.Mashup.OleDb.1;Data Source=$Workbook$;Location=&quot;Table_4763_113_01&quot;;Extended Properties=&quot;&quot;" commandType="0"/>
  </connection>
  <connection id="281" xr16:uid="{CB5AA177-533B-4231-AD61-EB8E4F44E206}" keepAlive="1" name="連線125" type="5" refreshedVersion="0" background="1">
    <dbPr connection="Provider=Microsoft.Mashup.OleDb.1;Data Source=$Workbook$;Location=&quot;Table_2330_113_01&quot;;Extended Properties=&quot;&quot;" commandType="0"/>
  </connection>
  <connection id="282" xr16:uid="{DD2A1499-B614-42E9-8B09-A780A084E92E}" keepAlive="1" name="連線1250" type="5" refreshedVersion="0" background="1">
    <dbPr connection="Provider=Microsoft.Mashup.OleDb.1;Data Source=$Workbook$;Location=&quot;Table_2002_113_03&quot;;Extended Properties=&quot;&quot;" commandType="0"/>
  </connection>
  <connection id="283" xr16:uid="{E8753EDB-A057-480F-B7C7-9644C902A91D}" keepAlive="1" name="連線1251" type="5" refreshedVersion="0" background="1">
    <dbPr connection="Provider=Microsoft.Mashup.OleDb.1;Data Source=$Workbook$;Location=&quot;Table_2002_113_02&quot;;Extended Properties=&quot;&quot;" commandType="0"/>
  </connection>
  <connection id="284" xr16:uid="{B8B217CE-3F49-4D01-A670-BCDEFB2D337E}" keepAlive="1" name="連線1252" type="5" refreshedVersion="0" background="1">
    <dbPr connection="Provider=Microsoft.Mashup.OleDb.1;Data Source=$Workbook$;Location=&quot;Table_2002_113_01&quot;;Extended Properties=&quot;&quot;" commandType="0"/>
  </connection>
  <connection id="285" xr16:uid="{8FB88AA5-1853-4A01-BF7A-ED4F7A473B92}" keepAlive="1" name="連線1253" type="5" refreshedVersion="0" background="1">
    <dbPr connection="Provider=Microsoft.Mashup.OleDb.1;Data Source=$Workbook$;Location=&quot;Table_1101_113_03&quot;;Extended Properties=&quot;&quot;" commandType="0"/>
  </connection>
  <connection id="286" xr16:uid="{C03EA325-5681-4014-BA1D-F414CEDB3E5F}" keepAlive="1" name="連線1254" type="5" refreshedVersion="0" background="1">
    <dbPr connection="Provider=Microsoft.Mashup.OleDb.1;Data Source=$Workbook$;Location=&quot;Table_1101_113_02&quot;;Extended Properties=&quot;&quot;" commandType="0"/>
  </connection>
  <connection id="287" xr16:uid="{87E0CE0A-BE07-48D4-A03A-13C865C3A5AD}" keepAlive="1" name="連線1255" type="5" refreshedVersion="0" background="1">
    <dbPr connection="Provider=Microsoft.Mashup.OleDb.1;Data Source=$Workbook$;Location=&quot;Table_1101_113_01&quot;;Extended Properties=&quot;&quot;" commandType="0"/>
  </connection>
  <connection id="288" xr16:uid="{1A53453D-7F05-4219-8B69-894CBDF628CE}" keepAlive="1" name="連線1256" type="5" refreshedVersion="0" background="1">
    <dbPr connection="Provider=Microsoft.Mashup.OleDb.1;Data Source=$Workbook$;Location=&quot;Table_4763_113_03&quot;;Extended Properties=&quot;&quot;" commandType="0"/>
  </connection>
  <connection id="289" xr16:uid="{DE81DDD5-30E8-4F7F-86D5-96CD6F5A7576}" keepAlive="1" name="連線1257" type="5" refreshedVersion="0" background="1">
    <dbPr connection="Provider=Microsoft.Mashup.OleDb.1;Data Source=$Workbook$;Location=&quot;Table_4763_113_02&quot;;Extended Properties=&quot;&quot;" commandType="0"/>
  </connection>
  <connection id="290" xr16:uid="{24BE741B-4D63-4D97-81EC-4113C7C05372}" keepAlive="1" name="連線1258" type="5" refreshedVersion="0" background="1">
    <dbPr connection="Provider=Microsoft.Mashup.OleDb.1;Data Source=$Workbook$;Location=&quot;Table_4763_113_01&quot;;Extended Properties=&quot;&quot;" commandType="0"/>
  </connection>
  <connection id="291" xr16:uid="{9EE06983-4113-4753-B968-AF68A332A901}" keepAlive="1" name="連線1259" type="5" refreshedVersion="0" background="1">
    <dbPr connection="Provider=Microsoft.Mashup.OleDb.1;Data Source=$Workbook$;Location=&quot;Table_2001_113_03&quot;;Extended Properties=&quot;&quot;" commandType="0"/>
  </connection>
  <connection id="292" xr16:uid="{C1133D49-68A2-49D7-8B8B-88DD635B2190}" keepAlive="1" name="連線126" type="5" refreshedVersion="0" background="1">
    <dbPr connection="Provider=Microsoft.Mashup.OleDb.1;Data Source=$Workbook$;Location=&quot;Table_2330_113_02&quot;;Extended Properties=&quot;&quot;" commandType="0"/>
  </connection>
  <connection id="293" xr16:uid="{C3761DFA-72E5-4FCD-8596-75D659D1F54D}" keepAlive="1" name="連線1260" type="5" refreshedVersion="0" background="1">
    <dbPr connection="Provider=Microsoft.Mashup.OleDb.1;Data Source=$Workbook$;Location=&quot;Table_2002_113_03&quot;;Extended Properties=&quot;&quot;" commandType="0"/>
  </connection>
  <connection id="294" xr16:uid="{405E2DD2-41D4-499D-8376-1CB5AB7920F2}" keepAlive="1" name="連線1261" type="5" refreshedVersion="0" background="1">
    <dbPr connection="Provider=Microsoft.Mashup.OleDb.1;Data Source=$Workbook$;Location=&quot;Table_2002_113_02&quot;;Extended Properties=&quot;&quot;" commandType="0"/>
  </connection>
  <connection id="295" xr16:uid="{96D9F173-AAA1-4F67-B930-3BE497249642}" keepAlive="1" name="連線1262" type="5" refreshedVersion="0" background="1">
    <dbPr connection="Provider=Microsoft.Mashup.OleDb.1;Data Source=$Workbook$;Location=&quot;Table_2002_113_01&quot;;Extended Properties=&quot;&quot;" commandType="0"/>
  </connection>
  <connection id="296" xr16:uid="{8F98F13C-8CC8-4046-9DD0-5A03AAEBB067}" keepAlive="1" name="連線1263" type="5" refreshedVersion="0" background="1">
    <dbPr connection="Provider=Microsoft.Mashup.OleDb.1;Data Source=$Workbook$;Location=&quot;Table_1101_113_03&quot;;Extended Properties=&quot;&quot;" commandType="0"/>
  </connection>
  <connection id="297" xr16:uid="{32C95626-000A-46DA-A32D-68F8A7FCA79D}" keepAlive="1" name="連線1264" type="5" refreshedVersion="0" background="1">
    <dbPr connection="Provider=Microsoft.Mashup.OleDb.1;Data Source=$Workbook$;Location=&quot;Table_1101_113_02&quot;;Extended Properties=&quot;&quot;" commandType="0"/>
  </connection>
  <connection id="298" xr16:uid="{2F8D1B60-44B1-48AB-AFBF-FA0288AFA6FA}" keepAlive="1" name="連線1265" type="5" refreshedVersion="0" background="1">
    <dbPr connection="Provider=Microsoft.Mashup.OleDb.1;Data Source=$Workbook$;Location=&quot;Table_1101_113_01&quot;;Extended Properties=&quot;&quot;" commandType="0"/>
  </connection>
  <connection id="299" xr16:uid="{DD0D59E7-EEC5-4468-B7A1-A33741A4E3A6}" keepAlive="1" name="連線1266" type="5" refreshedVersion="0" background="1">
    <dbPr connection="Provider=Microsoft.Mashup.OleDb.1;Data Source=$Workbook$;Location=&quot;Table_4763_113_03&quot;;Extended Properties=&quot;&quot;" commandType="0"/>
  </connection>
  <connection id="300" xr16:uid="{1CFCB6EF-4193-4481-95F4-AD916B2BA3F9}" keepAlive="1" name="連線1267" type="5" refreshedVersion="0" background="1">
    <dbPr connection="Provider=Microsoft.Mashup.OleDb.1;Data Source=$Workbook$;Location=&quot;Table_4763_113_02&quot;;Extended Properties=&quot;&quot;" commandType="0"/>
  </connection>
  <connection id="301" xr16:uid="{7FE23B1E-E391-44CD-95C7-B816C9933261}" keepAlive="1" name="連線1268" type="5" refreshedVersion="0" background="1">
    <dbPr connection="Provider=Microsoft.Mashup.OleDb.1;Data Source=$Workbook$;Location=&quot;Table_4763_113_01&quot;;Extended Properties=&quot;&quot;" commandType="0"/>
  </connection>
  <connection id="302" xr16:uid="{8A00A5A9-F342-4A15-94EE-715CBCB8E08B}" keepAlive="1" name="連線1269" type="5" refreshedVersion="0" background="1">
    <dbPr connection="Provider=Microsoft.Mashup.OleDb.1;Data Source=$Workbook$;Location=&quot;Table_8069_113_03&quot;;Extended Properties=&quot;&quot;" commandType="0"/>
  </connection>
  <connection id="303" xr16:uid="{5D93204F-B2C3-4786-83FF-284178627230}" keepAlive="1" name="連線127" type="5" refreshedVersion="0" background="1">
    <dbPr connection="Provider=Microsoft.Mashup.OleDb.1;Data Source=$Workbook$;Location=&quot;Table_2330_113_03&quot;;Extended Properties=&quot;&quot;" commandType="0"/>
  </connection>
  <connection id="304" xr16:uid="{4931E2F0-8E6F-42F4-8021-2030ADE84D18}" keepAlive="1" name="連線1270" type="5" refreshedVersion="0" background="1">
    <dbPr connection="Provider=Microsoft.Mashup.OleDb.1;Data Source=$Workbook$;Location=&quot;Table_8069_113_02&quot;;Extended Properties=&quot;&quot;" commandType="0"/>
  </connection>
  <connection id="305" xr16:uid="{85970039-B1ED-4C64-AE61-648A628E417E}" keepAlive="1" name="連線1271" type="5" refreshedVersion="0" background="1">
    <dbPr connection="Provider=Microsoft.Mashup.OleDb.1;Data Source=$Workbook$;Location=&quot;Table_8069_113_01&quot;;Extended Properties=&quot;&quot;" commandType="0"/>
  </connection>
  <connection id="306" xr16:uid="{043F825F-B622-4C6C-BC3E-0DCD78EE5712}" keepAlive="1" name="連線1272" type="5" refreshedVersion="0" background="1">
    <dbPr connection="Provider=Microsoft.Mashup.OleDb.1;Data Source=$Workbook$;Location=&quot;Table_2882_113_03&quot;;Extended Properties=&quot;&quot;" commandType="0"/>
  </connection>
  <connection id="307" xr16:uid="{61505DE1-2E03-4EAE-8A98-FED1547CE47F}" keepAlive="1" name="連線1273" type="5" refreshedVersion="0" background="1">
    <dbPr connection="Provider=Microsoft.Mashup.OleDb.1;Data Source=$Workbook$;Location=&quot;Table_2882_113_02&quot;;Extended Properties=&quot;&quot;" commandType="0"/>
  </connection>
  <connection id="308" xr16:uid="{AF8DEDC0-AEF7-4FB4-8591-498C405430BB}" keepAlive="1" name="連線1274" type="5" refreshedVersion="0" background="1">
    <dbPr connection="Provider=Microsoft.Mashup.OleDb.1;Data Source=$Workbook$;Location=&quot;Table_2882_113_01&quot;;Extended Properties=&quot;&quot;" commandType="0"/>
  </connection>
  <connection id="309" xr16:uid="{E3C2A326-0D12-45A6-9F5F-02CD15F1CF21}" keepAlive="1" name="連線1275" type="5" refreshedVersion="0" background="1">
    <dbPr connection="Provider=Microsoft.Mashup.OleDb.1;Data Source=$Workbook$;Location=&quot;Table_2330_113_03&quot;;Extended Properties=&quot;&quot;" commandType="0"/>
  </connection>
  <connection id="310" xr16:uid="{F2F7D728-4E76-43E8-AA7D-AA81475A2526}" keepAlive="1" name="連線1276" type="5" refreshedVersion="0" background="1">
    <dbPr connection="Provider=Microsoft.Mashup.OleDb.1;Data Source=$Workbook$;Location=&quot;Table_2330_113_02&quot;;Extended Properties=&quot;&quot;" commandType="0"/>
  </connection>
  <connection id="311" xr16:uid="{47F90CB0-4477-471E-8DF4-0F1EDABAB4B6}" keepAlive="1" name="連線1277" type="5" refreshedVersion="0" background="1">
    <dbPr connection="Provider=Microsoft.Mashup.OleDb.1;Data Source=$Workbook$;Location=&quot;Table_2330_113_01&quot;;Extended Properties=&quot;&quot;" commandType="0"/>
  </connection>
  <connection id="312" xr16:uid="{E5EFC83F-3D7C-4F45-9BF1-4F90DBCC4785}" keepAlive="1" name="連線1278" type="5" refreshedVersion="0" background="1">
    <dbPr connection="Provider=Microsoft.Mashup.OleDb.1;Data Source=$Workbook$;Location=&quot;Table_1101_113_03&quot;;Extended Properties=&quot;&quot;" commandType="0"/>
  </connection>
  <connection id="313" xr16:uid="{08E2E5C8-79D1-4340-9D63-8BB06AE689B9}" keepAlive="1" name="連線1279" type="5" refreshedVersion="0" background="1">
    <dbPr connection="Provider=Microsoft.Mashup.OleDb.1;Data Source=$Workbook$;Location=&quot;Table_1101_113_02&quot;;Extended Properties=&quot;&quot;" commandType="0"/>
  </connection>
  <connection id="314" xr16:uid="{5A52FBF3-BE2B-4077-BA35-C02B5C62FB71}" keepAlive="1" name="連線128" type="5" refreshedVersion="0" background="1">
    <dbPr connection="Provider=Microsoft.Mashup.OleDb.1;Data Source=$Workbook$;Location=&quot;Table_1101_113_01&quot;;Extended Properties=&quot;&quot;" commandType="0"/>
  </connection>
  <connection id="315" xr16:uid="{EC227F95-3E9E-47F5-BC18-3A33DC69BCAF}" keepAlive="1" name="連線1280" type="5" refreshedVersion="0" background="1">
    <dbPr connection="Provider=Microsoft.Mashup.OleDb.1;Data Source=$Workbook$;Location=&quot;Table_1101_113_01&quot;;Extended Properties=&quot;&quot;" commandType="0"/>
  </connection>
  <connection id="316" xr16:uid="{A8E05ACD-EDD4-4641-861A-5E77AF8C01C5}" keepAlive="1" name="連線1281" type="5" refreshedVersion="0" background="1">
    <dbPr connection="Provider=Microsoft.Mashup.OleDb.1;Data Source=$Workbook$;Location=&quot;Table_2912_113_03&quot;;Extended Properties=&quot;&quot;" commandType="0"/>
  </connection>
  <connection id="317" xr16:uid="{2EFA8FE7-1848-4E8F-BB1E-7E6F5877320C}" keepAlive="1" name="連線1282" type="5" refreshedVersion="0" background="1">
    <dbPr connection="Provider=Microsoft.Mashup.OleDb.1;Data Source=$Workbook$;Location=&quot;Table_2912_113_02&quot;;Extended Properties=&quot;&quot;" commandType="0"/>
  </connection>
  <connection id="318" xr16:uid="{D827F1D8-3177-4B10-B3A0-9DCE3D079570}" keepAlive="1" name="連線1283" type="5" refreshedVersion="0" background="1">
    <dbPr connection="Provider=Microsoft.Mashup.OleDb.1;Data Source=$Workbook$;Location=&quot;Table_2912_113_01&quot;;Extended Properties=&quot;&quot;" commandType="0"/>
  </connection>
  <connection id="319" xr16:uid="{2718FF8F-A3EA-443A-8DA6-5122B36CF7E6}" keepAlive="1" name="連線1284" type="5" refreshedVersion="0" background="1">
    <dbPr connection="Provider=Microsoft.Mashup.OleDb.1;Data Source=$Workbook$;Location=&quot;Table_2002_113_03&quot;;Extended Properties=&quot;&quot;" commandType="0"/>
  </connection>
  <connection id="320" xr16:uid="{C10DB390-F732-4E40-AA3D-91A46A5AD027}" keepAlive="1" name="連線1285" type="5" refreshedVersion="0" background="1">
    <dbPr connection="Provider=Microsoft.Mashup.OleDb.1;Data Source=$Workbook$;Location=&quot;Table_2002_113_02&quot;;Extended Properties=&quot;&quot;" commandType="0"/>
  </connection>
  <connection id="321" xr16:uid="{29222986-E07D-436D-9BB0-09EDF41B9BB2}" keepAlive="1" name="連線1286" type="5" refreshedVersion="0" background="1">
    <dbPr connection="Provider=Microsoft.Mashup.OleDb.1;Data Source=$Workbook$;Location=&quot;Table_2002_113_01&quot;;Extended Properties=&quot;&quot;" commandType="0"/>
  </connection>
  <connection id="322" xr16:uid="{8A739D65-1F76-45D9-847D-7B2F13C3831D}" keepAlive="1" name="連線1287" type="5" refreshedVersion="0" background="1">
    <dbPr connection="Provider=Microsoft.Mashup.OleDb.1;Data Source=$Workbook$;Location=&quot;Table_2882_113_03&quot;;Extended Properties=&quot;&quot;" commandType="0"/>
  </connection>
  <connection id="323" xr16:uid="{053921E2-F45A-4F3F-A3F3-FC58A362D925}" keepAlive="1" name="連線1288" type="5" refreshedVersion="0" background="1">
    <dbPr connection="Provider=Microsoft.Mashup.OleDb.1;Data Source=$Workbook$;Location=&quot;Table_2882_113_02&quot;;Extended Properties=&quot;&quot;" commandType="0"/>
  </connection>
  <connection id="324" xr16:uid="{F6BBBAD9-F096-4820-8943-C32CB93541F2}" keepAlive="1" name="連線1289" type="5" refreshedVersion="0" background="1">
    <dbPr connection="Provider=Microsoft.Mashup.OleDb.1;Data Source=$Workbook$;Location=&quot;Table_2882_113_01&quot;;Extended Properties=&quot;&quot;" commandType="0"/>
  </connection>
  <connection id="325" xr16:uid="{DE24030C-7404-4C92-9C82-57E2800C9A54}" keepAlive="1" name="連線129" type="5" refreshedVersion="0" background="1">
    <dbPr connection="Provider=Microsoft.Mashup.OleDb.1;Data Source=$Workbook$;Location=&quot;Table_1101_113_02&quot;;Extended Properties=&quot;&quot;" commandType="0"/>
  </connection>
  <connection id="326" xr16:uid="{9CA2E3B8-9224-46AF-A1A5-C3A8110EB3D3}" keepAlive="1" name="連線1290" type="5" refreshedVersion="0" background="1">
    <dbPr connection="Provider=Microsoft.Mashup.OleDb.1;Data Source=$Workbook$;Location=&quot;Table_2330_113_03&quot;;Extended Properties=&quot;&quot;" commandType="0"/>
  </connection>
  <connection id="327" xr16:uid="{EB9AB8ED-6F41-4E42-86BF-81E137440B24}" keepAlive="1" name="連線1291" type="5" refreshedVersion="0" background="1">
    <dbPr connection="Provider=Microsoft.Mashup.OleDb.1;Data Source=$Workbook$;Location=&quot;Table_2330_113_02&quot;;Extended Properties=&quot;&quot;" commandType="0"/>
  </connection>
  <connection id="328" xr16:uid="{8CD8C548-3E36-49B5-A519-D8D104D0CC10}" keepAlive="1" name="連線1292" type="5" refreshedVersion="0" background="1">
    <dbPr connection="Provider=Microsoft.Mashup.OleDb.1;Data Source=$Workbook$;Location=&quot;Table_2330_113_01&quot;;Extended Properties=&quot;&quot;" commandType="0"/>
  </connection>
  <connection id="329" xr16:uid="{DF339D90-D325-446D-A38A-6B66A7651E51}" keepAlive="1" name="連線1293" type="5" refreshedVersion="0" background="1">
    <dbPr connection="Provider=Microsoft.Mashup.OleDb.1;Data Source=$Workbook$;Location=&quot;Table_1101_113_03&quot;;Extended Properties=&quot;&quot;" commandType="0"/>
  </connection>
  <connection id="330" xr16:uid="{748ECECE-4D43-47F7-B4D9-E045C887DE3E}" keepAlive="1" name="連線1294" type="5" refreshedVersion="0" background="1">
    <dbPr connection="Provider=Microsoft.Mashup.OleDb.1;Data Source=$Workbook$;Location=&quot;Table_1101_113_02&quot;;Extended Properties=&quot;&quot;" commandType="0"/>
  </connection>
  <connection id="331" xr16:uid="{1DF0EBBC-AD74-462E-A95F-7B4C1F6B12E0}" keepAlive="1" name="連線1295" type="5" refreshedVersion="0" background="1">
    <dbPr connection="Provider=Microsoft.Mashup.OleDb.1;Data Source=$Workbook$;Location=&quot;Table_1101_113_01&quot;;Extended Properties=&quot;&quot;" commandType="0"/>
  </connection>
  <connection id="332" xr16:uid="{5B66F124-947C-4659-9E95-DA2A55AE1561}" keepAlive="1" name="連線1296" type="5" refreshedVersion="0" background="1">
    <dbPr connection="Provider=Microsoft.Mashup.OleDb.1;Data Source=$Workbook$;Location=&quot;Table_2912_113_03&quot;;Extended Properties=&quot;&quot;" commandType="0"/>
  </connection>
  <connection id="333" xr16:uid="{DBAC2DB5-ABB3-4874-BB0F-EC264F16E7E6}" keepAlive="1" name="連線1297" type="5" refreshedVersion="0" background="1">
    <dbPr connection="Provider=Microsoft.Mashup.OleDb.1;Data Source=$Workbook$;Location=&quot;Table_2912_113_02&quot;;Extended Properties=&quot;&quot;" commandType="0"/>
  </connection>
  <connection id="334" xr16:uid="{5FD4C938-7EFE-4C06-AA07-AED250B26C19}" keepAlive="1" name="連線1298" type="5" refreshedVersion="0" background="1">
    <dbPr connection="Provider=Microsoft.Mashup.OleDb.1;Data Source=$Workbook$;Location=&quot;Table_2912_113_01&quot;;Extended Properties=&quot;&quot;" commandType="0"/>
  </connection>
  <connection id="335" xr16:uid="{7F31E045-220E-4A9C-91D1-57F1F62E66BD}" keepAlive="1" name="連線1299" type="5" refreshedVersion="0" background="1">
    <dbPr connection="Provider=Microsoft.Mashup.OleDb.1;Data Source=$Workbook$;Location=&quot;Table_2002_113_03&quot;;Extended Properties=&quot;&quot;" commandType="0"/>
  </connection>
  <connection id="336" xr16:uid="{2D207FD9-BCE2-4A30-8862-A37D2D0294A3}" keepAlive="1" name="連線13" type="5" refreshedVersion="0" background="1">
    <dbPr connection="Provider=Microsoft.Mashup.OleDb.1;Data Source=$Workbook$;Location=&quot;Table 6&quot;;Extended Properties=&quot;&quot;" commandType="0"/>
  </connection>
  <connection id="337" xr16:uid="{3EDF31DB-6337-4F89-AE17-400FCD24BC40}" keepAlive="1" name="連線130" type="5" refreshedVersion="0" background="1">
    <dbPr connection="Provider=Microsoft.Mashup.OleDb.1;Data Source=$Workbook$;Location=&quot;Table_1101_113_03&quot;;Extended Properties=&quot;&quot;" commandType="0"/>
  </connection>
  <connection id="338" xr16:uid="{82E3EE63-44F5-4D22-9192-60DF13B62326}" keepAlive="1" name="連線1300" type="5" refreshedVersion="0" background="1">
    <dbPr connection="Provider=Microsoft.Mashup.OleDb.1;Data Source=$Workbook$;Location=&quot;Table_2002_113_02&quot;;Extended Properties=&quot;&quot;" commandType="0"/>
  </connection>
  <connection id="339" xr16:uid="{BDF42335-E396-4C04-A889-B1815F854B63}" keepAlive="1" name="連線1301" type="5" refreshedVersion="0" background="1">
    <dbPr connection="Provider=Microsoft.Mashup.OleDb.1;Data Source=$Workbook$;Location=&quot;Table_2002_113_01&quot;;Extended Properties=&quot;&quot;" commandType="0"/>
  </connection>
  <connection id="340" xr16:uid="{C44FFD16-CBB8-4746-A17C-879478FDB8F2}" keepAlive="1" name="連線1302" type="5" refreshedVersion="0" background="1">
    <dbPr connection="Provider=Microsoft.Mashup.OleDb.1;Data Source=$Workbook$;Location=&quot;Table_2882_113_03&quot;;Extended Properties=&quot;&quot;" commandType="0"/>
  </connection>
  <connection id="341" xr16:uid="{B0880C14-BDCA-43A7-8D5E-0286E2289CE0}" keepAlive="1" name="連線1303" type="5" refreshedVersion="0" background="1">
    <dbPr connection="Provider=Microsoft.Mashup.OleDb.1;Data Source=$Workbook$;Location=&quot;Table_2882_113_02&quot;;Extended Properties=&quot;&quot;" commandType="0"/>
  </connection>
  <connection id="342" xr16:uid="{7366D33F-69A2-43A0-9FE6-C1740216CFCF}" keepAlive="1" name="連線1304" type="5" refreshedVersion="0" background="1">
    <dbPr connection="Provider=Microsoft.Mashup.OleDb.1;Data Source=$Workbook$;Location=&quot;Table_2882_113_01&quot;;Extended Properties=&quot;&quot;" commandType="0"/>
  </connection>
  <connection id="343" xr16:uid="{60C695AB-DBCE-4BCF-940C-B9B713AD8559}" keepAlive="1" name="連線1305" type="5" refreshedVersion="0" background="1">
    <dbPr connection="Provider=Microsoft.Mashup.OleDb.1;Data Source=$Workbook$;Location=&quot;Table_2330_113_03&quot;;Extended Properties=&quot;&quot;" commandType="0"/>
  </connection>
  <connection id="344" xr16:uid="{0AA603B0-B690-43F2-A6DA-DF71C3827E6F}" keepAlive="1" name="連線1306" type="5" refreshedVersion="0" background="1">
    <dbPr connection="Provider=Microsoft.Mashup.OleDb.1;Data Source=$Workbook$;Location=&quot;Table_2330_113_02&quot;;Extended Properties=&quot;&quot;" commandType="0"/>
  </connection>
  <connection id="345" xr16:uid="{66417821-3F92-404A-A9FC-54443C3D8D31}" keepAlive="1" name="連線1307" type="5" refreshedVersion="0" background="1">
    <dbPr connection="Provider=Microsoft.Mashup.OleDb.1;Data Source=$Workbook$;Location=&quot;Table_2330_113_01&quot;;Extended Properties=&quot;&quot;" commandType="0"/>
  </connection>
  <connection id="346" xr16:uid="{335B5E48-64C3-4E43-833D-16EA4A374B75}" keepAlive="1" name="連線1308" type="5" refreshedVersion="0" background="1">
    <dbPr connection="Provider=Microsoft.Mashup.OleDb.1;Data Source=$Workbook$;Location=&quot;Table_1101_113_03&quot;;Extended Properties=&quot;&quot;" commandType="0"/>
  </connection>
  <connection id="347" xr16:uid="{646363CE-F028-44F5-8B5C-007CD4DA5790}" keepAlive="1" name="連線1309" type="5" refreshedVersion="0" background="1">
    <dbPr connection="Provider=Microsoft.Mashup.OleDb.1;Data Source=$Workbook$;Location=&quot;Table_1101_113_02&quot;;Extended Properties=&quot;&quot;" commandType="0"/>
  </connection>
  <connection id="348" xr16:uid="{3C5F61C6-06C2-411B-AE6E-7C5714252A69}" keepAlive="1" name="連線131" type="5" refreshedVersion="0" background="1">
    <dbPr connection="Provider=Microsoft.Mashup.OleDb.1;Data Source=$Workbook$;Location=&quot;Table_2330_113_01&quot;;Extended Properties=&quot;&quot;" commandType="0"/>
  </connection>
  <connection id="349" xr16:uid="{28CE3AF5-6A14-43F3-98D6-D4A52BE1B2E5}" keepAlive="1" name="連線1310" type="5" refreshedVersion="0" background="1">
    <dbPr connection="Provider=Microsoft.Mashup.OleDb.1;Data Source=$Workbook$;Location=&quot;Table_1101_113_01&quot;;Extended Properties=&quot;&quot;" commandType="0"/>
  </connection>
  <connection id="350" xr16:uid="{65E9EBE2-91E7-47A0-9C66-873112949CB7}" keepAlive="1" name="連線1311" type="5" refreshedVersion="0" background="1">
    <dbPr connection="Provider=Microsoft.Mashup.OleDb.1;Data Source=$Workbook$;Location=&quot;Table_2912_113_03&quot;;Extended Properties=&quot;&quot;" commandType="0"/>
  </connection>
  <connection id="351" xr16:uid="{43E1FEC6-3CB2-4F07-A8B6-268A5137546C}" keepAlive="1" name="連線1312" type="5" refreshedVersion="0" background="1">
    <dbPr connection="Provider=Microsoft.Mashup.OleDb.1;Data Source=$Workbook$;Location=&quot;Table_2912_113_02&quot;;Extended Properties=&quot;&quot;" commandType="0"/>
  </connection>
  <connection id="352" xr16:uid="{CD539F2D-E48C-485C-B3AF-5D9BE44E08CA}" keepAlive="1" name="連線1313" type="5" refreshedVersion="0" background="1">
    <dbPr connection="Provider=Microsoft.Mashup.OleDb.1;Data Source=$Workbook$;Location=&quot;Table_2912_113_01&quot;;Extended Properties=&quot;&quot;" commandType="0"/>
  </connection>
  <connection id="353" xr16:uid="{6D2A2AE7-6204-4F3D-8A13-B5093FB4D3AF}" keepAlive="1" name="連線1314" type="5" refreshedVersion="0" background="1">
    <dbPr connection="Provider=Microsoft.Mashup.OleDb.1;Data Source=$Workbook$;Location=&quot;Table_2002_113_03&quot;;Extended Properties=&quot;&quot;" commandType="0"/>
  </connection>
  <connection id="354" xr16:uid="{B663A193-18A3-41C2-9C42-101DABE5ECF2}" keepAlive="1" name="連線1315" type="5" refreshedVersion="0" background="1">
    <dbPr connection="Provider=Microsoft.Mashup.OleDb.1;Data Source=$Workbook$;Location=&quot;Table_2002_113_02&quot;;Extended Properties=&quot;&quot;" commandType="0"/>
  </connection>
  <connection id="355" xr16:uid="{5541A1F8-BF5E-40FF-900C-9EF93AC8798E}" keepAlive="1" name="連線1316" type="5" refreshedVersion="0" background="1">
    <dbPr connection="Provider=Microsoft.Mashup.OleDb.1;Data Source=$Workbook$;Location=&quot;Table_2002_113_01&quot;;Extended Properties=&quot;&quot;" commandType="0"/>
  </connection>
  <connection id="356" xr16:uid="{83CE192E-31D7-4E8C-B9D8-AEDF0BC1FD10}" keepAlive="1" name="連線1317" type="5" refreshedVersion="0" background="1">
    <dbPr connection="Provider=Microsoft.Mashup.OleDb.1;Data Source=$Workbook$;Location=&quot;Table_2882_113_03&quot;;Extended Properties=&quot;&quot;" commandType="0"/>
  </connection>
  <connection id="357" xr16:uid="{DE66D7E0-43A6-472B-8017-E746ADBD6132}" keepAlive="1" name="連線1318" type="5" refreshedVersion="0" background="1">
    <dbPr connection="Provider=Microsoft.Mashup.OleDb.1;Data Source=$Workbook$;Location=&quot;Table_2882_113_02&quot;;Extended Properties=&quot;&quot;" commandType="0"/>
  </connection>
  <connection id="358" xr16:uid="{96933531-D1FE-40D2-825D-AF4587C3B08E}" keepAlive="1" name="連線1319" type="5" refreshedVersion="0" background="1">
    <dbPr connection="Provider=Microsoft.Mashup.OleDb.1;Data Source=$Workbook$;Location=&quot;Table_2882_113_01&quot;;Extended Properties=&quot;&quot;" commandType="0"/>
  </connection>
  <connection id="359" xr16:uid="{12889CF0-BEEC-4B0B-AC51-7C5E07767465}" keepAlive="1" name="連線132" type="5" refreshedVersion="0" background="1">
    <dbPr connection="Provider=Microsoft.Mashup.OleDb.1;Data Source=$Workbook$;Location=&quot;Table_2330_113_02&quot;;Extended Properties=&quot;&quot;" commandType="0"/>
  </connection>
  <connection id="360" xr16:uid="{7CFE5807-7FA0-46D4-A5EC-73B1C46DD3D6}" keepAlive="1" name="連線1320" type="5" refreshedVersion="0" background="1">
    <dbPr connection="Provider=Microsoft.Mashup.OleDb.1;Data Source=$Workbook$;Location=&quot;Table_2330_113_03&quot;;Extended Properties=&quot;&quot;" commandType="0"/>
  </connection>
  <connection id="361" xr16:uid="{E4E2F983-9DFF-4B52-A092-A7560CD2FBE2}" keepAlive="1" name="連線1321" type="5" refreshedVersion="0" background="1">
    <dbPr connection="Provider=Microsoft.Mashup.OleDb.1;Data Source=$Workbook$;Location=&quot;Table_2330_113_02&quot;;Extended Properties=&quot;&quot;" commandType="0"/>
  </connection>
  <connection id="362" xr16:uid="{40C4E989-40F9-4AA8-916C-760831399CA9}" keepAlive="1" name="連線1322" type="5" refreshedVersion="0" background="1">
    <dbPr connection="Provider=Microsoft.Mashup.OleDb.1;Data Source=$Workbook$;Location=&quot;Table_2330_113_01&quot;;Extended Properties=&quot;&quot;" commandType="0"/>
  </connection>
  <connection id="363" xr16:uid="{52EEF254-5646-472B-9090-764C85875B3F}" keepAlive="1" name="連線1323" type="5" refreshedVersion="0" background="1">
    <dbPr connection="Provider=Microsoft.Mashup.OleDb.1;Data Source=$Workbook$;Location=&quot;Table_1101_113_03&quot;;Extended Properties=&quot;&quot;" commandType="0"/>
  </connection>
  <connection id="364" xr16:uid="{A37D9713-203E-451F-9FAE-EF03A642F02D}" keepAlive="1" name="連線1324" type="5" refreshedVersion="0" background="1">
    <dbPr connection="Provider=Microsoft.Mashup.OleDb.1;Data Source=$Workbook$;Location=&quot;Table_1101_113_02&quot;;Extended Properties=&quot;&quot;" commandType="0"/>
  </connection>
  <connection id="365" xr16:uid="{CAC559A8-4545-443B-B76B-69DEA350ADBA}" keepAlive="1" name="連線1325" type="5" refreshedVersion="0" background="1">
    <dbPr connection="Provider=Microsoft.Mashup.OleDb.1;Data Source=$Workbook$;Location=&quot;Table_1101_113_01&quot;;Extended Properties=&quot;&quot;" commandType="0"/>
  </connection>
  <connection id="366" xr16:uid="{3E4EBBFB-ADCB-41AA-B5C9-3F6A4B13C85B}" keepAlive="1" name="連線1326" type="5" refreshedVersion="0" background="1">
    <dbPr connection="Provider=Microsoft.Mashup.OleDb.1;Data Source=$Workbook$;Location=&quot;Table_2912_113_03&quot;;Extended Properties=&quot;&quot;" commandType="0"/>
  </connection>
  <connection id="367" xr16:uid="{20966530-52FD-42AD-95A2-42A34C9D3EA0}" keepAlive="1" name="連線1327" type="5" refreshedVersion="0" background="1">
    <dbPr connection="Provider=Microsoft.Mashup.OleDb.1;Data Source=$Workbook$;Location=&quot;Table_2912_113_02&quot;;Extended Properties=&quot;&quot;" commandType="0"/>
  </connection>
  <connection id="368" xr16:uid="{3F8719A5-192B-4118-894D-16B6CDB8C7BC}" keepAlive="1" name="連線1328" type="5" refreshedVersion="0" background="1">
    <dbPr connection="Provider=Microsoft.Mashup.OleDb.1;Data Source=$Workbook$;Location=&quot;Table_2912_113_01&quot;;Extended Properties=&quot;&quot;" commandType="0"/>
  </connection>
  <connection id="369" xr16:uid="{BD13A843-13E8-43F0-8A99-2317E8CB531B}" keepAlive="1" name="連線1329" type="5" refreshedVersion="0" background="1">
    <dbPr connection="Provider=Microsoft.Mashup.OleDb.1;Data Source=$Workbook$;Location=&quot;Table_2002_113_03&quot;;Extended Properties=&quot;&quot;" commandType="0"/>
  </connection>
  <connection id="370" xr16:uid="{0AAC8AD3-4475-4FD8-B274-323ACD4F866C}" keepAlive="1" name="連線133" type="5" refreshedVersion="0" background="1">
    <dbPr connection="Provider=Microsoft.Mashup.OleDb.1;Data Source=$Workbook$;Location=&quot;Table_2330_113_03&quot;;Extended Properties=&quot;&quot;" commandType="0"/>
  </connection>
  <connection id="371" xr16:uid="{9C4A8BAE-43CC-4259-8176-76854BF695C2}" keepAlive="1" name="連線1330" type="5" refreshedVersion="0" background="1">
    <dbPr connection="Provider=Microsoft.Mashup.OleDb.1;Data Source=$Workbook$;Location=&quot;Table_2002_113_02&quot;;Extended Properties=&quot;&quot;" commandType="0"/>
  </connection>
  <connection id="372" xr16:uid="{D8DEDAB4-40AB-4DD3-A3A1-5C1934BC6091}" keepAlive="1" name="連線1331" type="5" refreshedVersion="0" background="1">
    <dbPr connection="Provider=Microsoft.Mashup.OleDb.1;Data Source=$Workbook$;Location=&quot;Table_2002_113_01&quot;;Extended Properties=&quot;&quot;" commandType="0"/>
  </connection>
  <connection id="373" xr16:uid="{E74F76EF-EC7A-43E6-9B10-E2245C03C021}" keepAlive="1" name="連線1332" type="5" refreshedVersion="0" background="1">
    <dbPr connection="Provider=Microsoft.Mashup.OleDb.1;Data Source=$Workbook$;Location=&quot;Table_2882_113_03&quot;;Extended Properties=&quot;&quot;" commandType="0"/>
  </connection>
  <connection id="374" xr16:uid="{0415856D-65D3-4D5D-AF1C-C740A3C1A1D2}" keepAlive="1" name="連線1333" type="5" refreshedVersion="0" background="1">
    <dbPr connection="Provider=Microsoft.Mashup.OleDb.1;Data Source=$Workbook$;Location=&quot;Table_2882_113_02&quot;;Extended Properties=&quot;&quot;" commandType="0"/>
  </connection>
  <connection id="375" xr16:uid="{F47CCC8C-CB5F-4CEA-8A53-5C812BE2E3B1}" keepAlive="1" name="連線1334" type="5" refreshedVersion="0" background="1">
    <dbPr connection="Provider=Microsoft.Mashup.OleDb.1;Data Source=$Workbook$;Location=&quot;Table_2882_113_01&quot;;Extended Properties=&quot;&quot;" commandType="0"/>
  </connection>
  <connection id="376" xr16:uid="{90F5A231-13C1-4BE1-8CEA-C9275E438F7A}" keepAlive="1" name="連線1335" type="5" refreshedVersion="0" background="1">
    <dbPr connection="Provider=Microsoft.Mashup.OleDb.1;Data Source=$Workbook$;Location=&quot;Table_2330_113_03&quot;;Extended Properties=&quot;&quot;" commandType="0"/>
  </connection>
  <connection id="377" xr16:uid="{7BBF2426-E36B-4CEB-B87D-81885F5256F4}" keepAlive="1" name="連線1336" type="5" refreshedVersion="0" background="1">
    <dbPr connection="Provider=Microsoft.Mashup.OleDb.1;Data Source=$Workbook$;Location=&quot;Table_2330_113_02&quot;;Extended Properties=&quot;&quot;" commandType="0"/>
  </connection>
  <connection id="378" xr16:uid="{B99F9972-C497-4501-AFA6-E9D7764CA38D}" keepAlive="1" name="連線1337" type="5" refreshedVersion="0" background="1">
    <dbPr connection="Provider=Microsoft.Mashup.OleDb.1;Data Source=$Workbook$;Location=&quot;Table_2330_113_01&quot;;Extended Properties=&quot;&quot;" commandType="0"/>
  </connection>
  <connection id="379" xr16:uid="{B0C85622-12C7-4AC2-BC92-FC4951D15044}" keepAlive="1" name="連線1338" type="5" refreshedVersion="0" background="1">
    <dbPr connection="Provider=Microsoft.Mashup.OleDb.1;Data Source=$Workbook$;Location=&quot;Table_1101_113_03&quot;;Extended Properties=&quot;&quot;" commandType="0"/>
  </connection>
  <connection id="380" xr16:uid="{3FCBB43F-F7AE-46CA-92DB-9FA3A9CBDACE}" keepAlive="1" name="連線1339" type="5" refreshedVersion="0" background="1">
    <dbPr connection="Provider=Microsoft.Mashup.OleDb.1;Data Source=$Workbook$;Location=&quot;Table_1101_113_02&quot;;Extended Properties=&quot;&quot;" commandType="0"/>
  </connection>
  <connection id="381" xr16:uid="{A5A28ECB-A425-4526-9854-4F9543FC2C62}" keepAlive="1" name="連線134" type="5" refreshedVersion="0" background="1">
    <dbPr connection="Provider=Microsoft.Mashup.OleDb.1;Data Source=$Workbook$;Location=&quot;Table_1101_113_01&quot;;Extended Properties=&quot;&quot;" commandType="0"/>
  </connection>
  <connection id="382" xr16:uid="{3BB82819-26E3-48DF-A991-613F02213D83}" keepAlive="1" name="連線1340" type="5" refreshedVersion="0" background="1">
    <dbPr connection="Provider=Microsoft.Mashup.OleDb.1;Data Source=$Workbook$;Location=&quot;Table_1101_113_01&quot;;Extended Properties=&quot;&quot;" commandType="0"/>
  </connection>
  <connection id="383" xr16:uid="{6F07FBD3-2547-44A8-8B9A-B0E71E815554}" keepAlive="1" name="連線1341" type="5" refreshedVersion="0" background="1">
    <dbPr connection="Provider=Microsoft.Mashup.OleDb.1;Data Source=$Workbook$;Location=&quot;Table_2912_113_03&quot;;Extended Properties=&quot;&quot;" commandType="0"/>
  </connection>
  <connection id="384" xr16:uid="{8A7C8CFE-4673-4DA6-B82C-CBE03C384685}" keepAlive="1" name="連線1342" type="5" refreshedVersion="0" background="1">
    <dbPr connection="Provider=Microsoft.Mashup.OleDb.1;Data Source=$Workbook$;Location=&quot;Table_2912_113_02&quot;;Extended Properties=&quot;&quot;" commandType="0"/>
  </connection>
  <connection id="385" xr16:uid="{C025E769-23F4-461F-96D9-BF76EE407579}" keepAlive="1" name="連線1343" type="5" refreshedVersion="0" background="1">
    <dbPr connection="Provider=Microsoft.Mashup.OleDb.1;Data Source=$Workbook$;Location=&quot;Table_2912_113_01&quot;;Extended Properties=&quot;&quot;" commandType="0"/>
  </connection>
  <connection id="386" xr16:uid="{D6EB648F-8EB6-46F2-98D8-B6102A0B3805}" keepAlive="1" name="連線1344" type="5" refreshedVersion="0" background="1">
    <dbPr connection="Provider=Microsoft.Mashup.OleDb.1;Data Source=$Workbook$;Location=&quot;Table_2002_113_03&quot;;Extended Properties=&quot;&quot;" commandType="0"/>
  </connection>
  <connection id="387" xr16:uid="{A2E7A0E3-C6C2-40AB-A7BA-DE1D7910EEB1}" keepAlive="1" name="連線1345" type="5" refreshedVersion="0" background="1">
    <dbPr connection="Provider=Microsoft.Mashup.OleDb.1;Data Source=$Workbook$;Location=&quot;Table_2002_113_02&quot;;Extended Properties=&quot;&quot;" commandType="0"/>
  </connection>
  <connection id="388" xr16:uid="{FA9128E1-8F76-463E-ABC2-8E8FBA98FE94}" keepAlive="1" name="連線1346" type="5" refreshedVersion="0" background="1">
    <dbPr connection="Provider=Microsoft.Mashup.OleDb.1;Data Source=$Workbook$;Location=&quot;Table_2002_113_01&quot;;Extended Properties=&quot;&quot;" commandType="0"/>
  </connection>
  <connection id="389" xr16:uid="{1EB4A966-215E-40C6-BDBE-6403796481F5}" keepAlive="1" name="連線1347" type="5" refreshedVersion="0" background="1">
    <dbPr connection="Provider=Microsoft.Mashup.OleDb.1;Data Source=$Workbook$;Location=&quot;Table_2882_113_03&quot;;Extended Properties=&quot;&quot;" commandType="0"/>
  </connection>
  <connection id="390" xr16:uid="{7778EBC6-7B22-4EE0-94EC-2B8C0EA23DB2}" keepAlive="1" name="連線1348" type="5" refreshedVersion="0" background="1">
    <dbPr connection="Provider=Microsoft.Mashup.OleDb.1;Data Source=$Workbook$;Location=&quot;Table_2882_113_02&quot;;Extended Properties=&quot;&quot;" commandType="0"/>
  </connection>
  <connection id="391" xr16:uid="{087BFDD7-F9EE-4601-A4B1-2C9B87353F58}" keepAlive="1" name="連線1349" type="5" refreshedVersion="0" background="1">
    <dbPr connection="Provider=Microsoft.Mashup.OleDb.1;Data Source=$Workbook$;Location=&quot;Table_2882_113_01&quot;;Extended Properties=&quot;&quot;" commandType="0"/>
  </connection>
  <connection id="392" xr16:uid="{E8117374-B30B-4DAD-8C73-5C9006BCF43C}" keepAlive="1" name="連線135" type="5" refreshedVersion="0" background="1">
    <dbPr connection="Provider=Microsoft.Mashup.OleDb.1;Data Source=$Workbook$;Location=&quot;Table_1101_113_02&quot;;Extended Properties=&quot;&quot;" commandType="0"/>
  </connection>
  <connection id="393" xr16:uid="{C38ED73E-9EFB-45BE-8505-31A8A307B014}" keepAlive="1" name="連線1350" type="5" refreshedVersion="0" background="1">
    <dbPr connection="Provider=Microsoft.Mashup.OleDb.1;Data Source=$Workbook$;Location=&quot;Table_2330_113_03&quot;;Extended Properties=&quot;&quot;" commandType="0"/>
  </connection>
  <connection id="394" xr16:uid="{E6E1613D-B050-4F78-93ED-3E3866165F76}" keepAlive="1" name="連線1351" type="5" refreshedVersion="0" background="1">
    <dbPr connection="Provider=Microsoft.Mashup.OleDb.1;Data Source=$Workbook$;Location=&quot;Table_2330_113_02&quot;;Extended Properties=&quot;&quot;" commandType="0"/>
  </connection>
  <connection id="395" xr16:uid="{92F96948-C226-47D4-9EF0-E14260A6AE76}" keepAlive="1" name="連線1352" type="5" refreshedVersion="0" background="1">
    <dbPr connection="Provider=Microsoft.Mashup.OleDb.1;Data Source=$Workbook$;Location=&quot;Table_2330_113_01&quot;;Extended Properties=&quot;&quot;" commandType="0"/>
  </connection>
  <connection id="396" xr16:uid="{D319AF24-FAFE-4948-849E-06C7A1306E97}" keepAlive="1" name="連線1353" type="5" refreshedVersion="0" background="1">
    <dbPr connection="Provider=Microsoft.Mashup.OleDb.1;Data Source=$Workbook$;Location=&quot;Table_1101_113_03&quot;;Extended Properties=&quot;&quot;" commandType="0"/>
  </connection>
  <connection id="397" xr16:uid="{C70964D6-7131-4717-9CFE-185A356BEAEB}" keepAlive="1" name="連線1354" type="5" refreshedVersion="0" background="1">
    <dbPr connection="Provider=Microsoft.Mashup.OleDb.1;Data Source=$Workbook$;Location=&quot;Table_1101_113_02&quot;;Extended Properties=&quot;&quot;" commandType="0"/>
  </connection>
  <connection id="398" xr16:uid="{5F77F25D-83DA-4309-A347-28E62FF46AF3}" keepAlive="1" name="連線1355" type="5" refreshedVersion="0" background="1">
    <dbPr connection="Provider=Microsoft.Mashup.OleDb.1;Data Source=$Workbook$;Location=&quot;Table_1101_113_01&quot;;Extended Properties=&quot;&quot;" commandType="0"/>
  </connection>
  <connection id="399" xr16:uid="{AF8C7A78-CCA9-47D2-B6FF-CB64E00526E2}" keepAlive="1" name="連線1356" type="5" refreshedVersion="0" background="1">
    <dbPr connection="Provider=Microsoft.Mashup.OleDb.1;Data Source=$Workbook$;Location=&quot;Table_2912_113_03&quot;;Extended Properties=&quot;&quot;" commandType="0"/>
  </connection>
  <connection id="400" xr16:uid="{96C8FBD7-5376-4268-AC49-6CA2DFA76B82}" keepAlive="1" name="連線1357" type="5" refreshedVersion="0" background="1">
    <dbPr connection="Provider=Microsoft.Mashup.OleDb.1;Data Source=$Workbook$;Location=&quot;Table_2912_113_02&quot;;Extended Properties=&quot;&quot;" commandType="0"/>
  </connection>
  <connection id="401" xr16:uid="{C1F0BAAB-6E3B-41F3-98F7-6584F8E63CC6}" keepAlive="1" name="連線1358" type="5" refreshedVersion="0" background="1">
    <dbPr connection="Provider=Microsoft.Mashup.OleDb.1;Data Source=$Workbook$;Location=&quot;Table_2912_113_01&quot;;Extended Properties=&quot;&quot;" commandType="0"/>
  </connection>
  <connection id="402" xr16:uid="{A73354E1-FC3C-4528-B3C9-9526E5AEB078}" keepAlive="1" name="連線1359" type="5" refreshedVersion="0" background="1">
    <dbPr connection="Provider=Microsoft.Mashup.OleDb.1;Data Source=$Workbook$;Location=&quot;Table_2002_113_03&quot;;Extended Properties=&quot;&quot;" commandType="0"/>
  </connection>
  <connection id="403" xr16:uid="{C29B2171-C8A6-4F1E-8F38-18BE95141EA7}" keepAlive="1" name="連線136" type="5" refreshedVersion="0" background="1">
    <dbPr connection="Provider=Microsoft.Mashup.OleDb.1;Data Source=$Workbook$;Location=&quot;Table_1101_113_03&quot;;Extended Properties=&quot;&quot;" commandType="0"/>
  </connection>
  <connection id="404" xr16:uid="{748D4C27-9D42-4113-8A54-9A83D7AA7C65}" keepAlive="1" name="連線1360" type="5" refreshedVersion="0" background="1">
    <dbPr connection="Provider=Microsoft.Mashup.OleDb.1;Data Source=$Workbook$;Location=&quot;Table_2002_113_02&quot;;Extended Properties=&quot;&quot;" commandType="0"/>
  </connection>
  <connection id="405" xr16:uid="{D1EC3FFC-F711-47F0-84F9-9F0FFAA699B5}" keepAlive="1" name="連線1361" type="5" refreshedVersion="0" background="1">
    <dbPr connection="Provider=Microsoft.Mashup.OleDb.1;Data Source=$Workbook$;Location=&quot;Table_2002_113_01&quot;;Extended Properties=&quot;&quot;" commandType="0"/>
  </connection>
  <connection id="406" xr16:uid="{DA7A4413-A031-49CF-92CC-62C3034E216C}" keepAlive="1" name="連線1362" type="5" refreshedVersion="0" background="1">
    <dbPr connection="Provider=Microsoft.Mashup.OleDb.1;Data Source=$Workbook$;Location=&quot;Table_2882_113_03&quot;;Extended Properties=&quot;&quot;" commandType="0"/>
  </connection>
  <connection id="407" xr16:uid="{16AC8AC9-2A81-416A-A427-4566717D6C54}" keepAlive="1" name="連線1363" type="5" refreshedVersion="0" background="1">
    <dbPr connection="Provider=Microsoft.Mashup.OleDb.1;Data Source=$Workbook$;Location=&quot;Table_2882_113_02&quot;;Extended Properties=&quot;&quot;" commandType="0"/>
  </connection>
  <connection id="408" xr16:uid="{53A15E62-2F27-4FFF-9A54-58E8522D1D13}" keepAlive="1" name="連線1364" type="5" refreshedVersion="0" background="1">
    <dbPr connection="Provider=Microsoft.Mashup.OleDb.1;Data Source=$Workbook$;Location=&quot;Table_2882_113_01&quot;;Extended Properties=&quot;&quot;" commandType="0"/>
  </connection>
  <connection id="409" xr16:uid="{61D05B24-011B-4725-AA67-5307736AF978}" keepAlive="1" name="連線1365" type="5" refreshedVersion="0" background="1">
    <dbPr connection="Provider=Microsoft.Mashup.OleDb.1;Data Source=$Workbook$;Location=&quot;Table_2330_113_03&quot;;Extended Properties=&quot;&quot;" commandType="0"/>
  </connection>
  <connection id="410" xr16:uid="{787C237B-A104-4CF9-B673-DE5B014C7480}" keepAlive="1" name="連線1366" type="5" refreshedVersion="0" background="1">
    <dbPr connection="Provider=Microsoft.Mashup.OleDb.1;Data Source=$Workbook$;Location=&quot;Table_2330_113_02&quot;;Extended Properties=&quot;&quot;" commandType="0"/>
  </connection>
  <connection id="411" xr16:uid="{7C41C7B5-8652-4237-9917-CE062D38F1DF}" keepAlive="1" name="連線1367" type="5" refreshedVersion="0" background="1">
    <dbPr connection="Provider=Microsoft.Mashup.OleDb.1;Data Source=$Workbook$;Location=&quot;Table_2330_113_01&quot;;Extended Properties=&quot;&quot;" commandType="0"/>
  </connection>
  <connection id="412" xr16:uid="{2B6064BC-206F-4B9E-977B-948E7685A55C}" keepAlive="1" name="連線1368" type="5" refreshedVersion="0" background="1">
    <dbPr connection="Provider=Microsoft.Mashup.OleDb.1;Data Source=$Workbook$;Location=&quot;Table_1101_113_03&quot;;Extended Properties=&quot;&quot;" commandType="0"/>
  </connection>
  <connection id="413" xr16:uid="{64D42EB9-8823-4669-8BE0-F06B0876A031}" keepAlive="1" name="連線1369" type="5" refreshedVersion="0" background="1">
    <dbPr connection="Provider=Microsoft.Mashup.OleDb.1;Data Source=$Workbook$;Location=&quot;Table_1101_113_02&quot;;Extended Properties=&quot;&quot;" commandType="0"/>
  </connection>
  <connection id="414" xr16:uid="{9548BC3A-B45D-4A7B-A053-E72D52257C42}" keepAlive="1" name="連線137" type="5" refreshedVersion="0" background="1">
    <dbPr connection="Provider=Microsoft.Mashup.OleDb.1;Data Source=$Workbook$;Location=&quot;Table_2330_113_01&quot;;Extended Properties=&quot;&quot;" commandType="0"/>
  </connection>
  <connection id="415" xr16:uid="{35AF1B66-D788-4177-A162-22851DE3F230}" keepAlive="1" name="連線1370" type="5" refreshedVersion="0" background="1">
    <dbPr connection="Provider=Microsoft.Mashup.OleDb.1;Data Source=$Workbook$;Location=&quot;Table_1101_113_01&quot;;Extended Properties=&quot;&quot;" commandType="0"/>
  </connection>
  <connection id="416" xr16:uid="{9900F915-4F2A-4988-92FE-1364B64DC43E}" keepAlive="1" name="連線1371" type="5" refreshedVersion="0" background="1">
    <dbPr connection="Provider=Microsoft.Mashup.OleDb.1;Data Source=$Workbook$;Location=&quot;Table_2912_113_03&quot;;Extended Properties=&quot;&quot;" commandType="0"/>
  </connection>
  <connection id="417" xr16:uid="{F6A6FA5F-9547-44AC-B8F4-1D6AFBF06F90}" keepAlive="1" name="連線1372" type="5" refreshedVersion="0" background="1">
    <dbPr connection="Provider=Microsoft.Mashup.OleDb.1;Data Source=$Workbook$;Location=&quot;Table_2912_113_02&quot;;Extended Properties=&quot;&quot;" commandType="0"/>
  </connection>
  <connection id="418" xr16:uid="{3F6BCECF-F4AE-4C63-B399-407CDDB0DCE4}" keepAlive="1" name="連線1373" type="5" refreshedVersion="0" background="1">
    <dbPr connection="Provider=Microsoft.Mashup.OleDb.1;Data Source=$Workbook$;Location=&quot;Table_2912_113_01&quot;;Extended Properties=&quot;&quot;" commandType="0"/>
  </connection>
  <connection id="419" xr16:uid="{B718AFBB-C619-4039-8E0D-D02024EDEC61}" keepAlive="1" name="連線1374" type="5" refreshedVersion="0" background="1">
    <dbPr connection="Provider=Microsoft.Mashup.OleDb.1;Data Source=$Workbook$;Location=&quot;Table_2002_113_03&quot;;Extended Properties=&quot;&quot;" commandType="0"/>
  </connection>
  <connection id="420" xr16:uid="{8C68258C-2EE0-4490-8E59-1D1AC84973F9}" keepAlive="1" name="連線1375" type="5" refreshedVersion="0" background="1">
    <dbPr connection="Provider=Microsoft.Mashup.OleDb.1;Data Source=$Workbook$;Location=&quot;Table_2002_113_02&quot;;Extended Properties=&quot;&quot;" commandType="0"/>
  </connection>
  <connection id="421" xr16:uid="{4FDF3F4E-B61F-4168-A773-B66B4FF256A1}" keepAlive="1" name="連線1376" type="5" refreshedVersion="0" background="1">
    <dbPr connection="Provider=Microsoft.Mashup.OleDb.1;Data Source=$Workbook$;Location=&quot;Table_2002_113_01&quot;;Extended Properties=&quot;&quot;" commandType="0"/>
  </connection>
  <connection id="422" xr16:uid="{85675DCB-A0B2-4318-9CB5-BF9569BB7476}" keepAlive="1" name="連線1377" type="5" refreshedVersion="0" background="1">
    <dbPr connection="Provider=Microsoft.Mashup.OleDb.1;Data Source=$Workbook$;Location=&quot;Table_2882_113_03&quot;;Extended Properties=&quot;&quot;" commandType="0"/>
  </connection>
  <connection id="423" xr16:uid="{C8E79625-4D55-471E-854B-CCAE9C7F1F51}" keepAlive="1" name="連線1378" type="5" refreshedVersion="0" background="1">
    <dbPr connection="Provider=Microsoft.Mashup.OleDb.1;Data Source=$Workbook$;Location=&quot;Table_2882_113_02&quot;;Extended Properties=&quot;&quot;" commandType="0"/>
  </connection>
  <connection id="424" xr16:uid="{FF6A2524-1708-4957-9991-9FE0C619E99C}" keepAlive="1" name="連線1379" type="5" refreshedVersion="0" background="1">
    <dbPr connection="Provider=Microsoft.Mashup.OleDb.1;Data Source=$Workbook$;Location=&quot;Table_2882_113_01&quot;;Extended Properties=&quot;&quot;" commandType="0"/>
  </connection>
  <connection id="425" xr16:uid="{43335EC9-6AF1-4DAE-806A-A5C61CB1A5C9}" keepAlive="1" name="連線138" type="5" refreshedVersion="0" background="1">
    <dbPr connection="Provider=Microsoft.Mashup.OleDb.1;Data Source=$Workbook$;Location=&quot;Table_2330_113_02&quot;;Extended Properties=&quot;&quot;" commandType="0"/>
  </connection>
  <connection id="426" xr16:uid="{7BD93C71-6373-4CA7-8376-B96593B90026}" keepAlive="1" name="連線1380" type="5" refreshedVersion="0" background="1">
    <dbPr connection="Provider=Microsoft.Mashup.OleDb.1;Data Source=$Workbook$;Location=&quot;Table_2330_113_03&quot;;Extended Properties=&quot;&quot;" commandType="0"/>
  </connection>
  <connection id="427" xr16:uid="{D5077334-5BEA-4BEF-AE87-9151C5DC00F7}" keepAlive="1" name="連線1381" type="5" refreshedVersion="0" background="1">
    <dbPr connection="Provider=Microsoft.Mashup.OleDb.1;Data Source=$Workbook$;Location=&quot;Table_2330_113_02&quot;;Extended Properties=&quot;&quot;" commandType="0"/>
  </connection>
  <connection id="428" xr16:uid="{EE24E093-A187-40CE-A405-952DCEA3E789}" keepAlive="1" name="連線1382" type="5" refreshedVersion="0" background="1">
    <dbPr connection="Provider=Microsoft.Mashup.OleDb.1;Data Source=$Workbook$;Location=&quot;Table_2330_113_01&quot;;Extended Properties=&quot;&quot;" commandType="0"/>
  </connection>
  <connection id="429" xr16:uid="{1EF3284A-06B8-485A-8674-9058BD17EE70}" keepAlive="1" name="連線1383" type="5" refreshedVersion="0" background="1">
    <dbPr connection="Provider=Microsoft.Mashup.OleDb.1;Data Source=$Workbook$;Location=&quot;Table_1101_113_03&quot;;Extended Properties=&quot;&quot;" commandType="0"/>
  </connection>
  <connection id="430" xr16:uid="{3AE26C78-6248-4025-895E-554730867D78}" keepAlive="1" name="連線1384" type="5" refreshedVersion="0" background="1">
    <dbPr connection="Provider=Microsoft.Mashup.OleDb.1;Data Source=$Workbook$;Location=&quot;Table_1101_113_02&quot;;Extended Properties=&quot;&quot;" commandType="0"/>
  </connection>
  <connection id="431" xr16:uid="{EE75E0A2-402D-4E45-AF5C-7A7F5FB3DCBA}" keepAlive="1" name="連線1385" type="5" refreshedVersion="0" background="1">
    <dbPr connection="Provider=Microsoft.Mashup.OleDb.1;Data Source=$Workbook$;Location=&quot;Table_1101_113_01&quot;;Extended Properties=&quot;&quot;" commandType="0"/>
  </connection>
  <connection id="432" xr16:uid="{6ECBC35F-A308-43D3-B3C7-8FAEB0BE558B}" keepAlive="1" name="連線1386" type="5" refreshedVersion="0" background="1">
    <dbPr connection="Provider=Microsoft.Mashup.OleDb.1;Data Source=$Workbook$;Location=&quot;Table_2912_113_03&quot;;Extended Properties=&quot;&quot;" commandType="0"/>
  </connection>
  <connection id="433" xr16:uid="{B507036E-0F6C-4B21-BCF4-18FE88534B76}" keepAlive="1" name="連線1387" type="5" refreshedVersion="0" background="1">
    <dbPr connection="Provider=Microsoft.Mashup.OleDb.1;Data Source=$Workbook$;Location=&quot;Table_2912_113_02&quot;;Extended Properties=&quot;&quot;" commandType="0"/>
  </connection>
  <connection id="434" xr16:uid="{3807138F-F41A-46DA-A35F-49DE48A74D38}" keepAlive="1" name="連線1388" type="5" refreshedVersion="0" background="1">
    <dbPr connection="Provider=Microsoft.Mashup.OleDb.1;Data Source=$Workbook$;Location=&quot;Table_2912_113_01&quot;;Extended Properties=&quot;&quot;" commandType="0"/>
  </connection>
  <connection id="435" xr16:uid="{6182DBE6-A1AE-41C1-AACE-6B327B6419FB}" keepAlive="1" name="連線1389" type="5" refreshedVersion="0" background="1">
    <dbPr connection="Provider=Microsoft.Mashup.OleDb.1;Data Source=$Workbook$;Location=&quot;Table_2002_113_03&quot;;Extended Properties=&quot;&quot;" commandType="0"/>
  </connection>
  <connection id="436" xr16:uid="{582D960F-7820-4F1D-8205-9747967E8F7A}" keepAlive="1" name="連線139" type="5" refreshedVersion="0" background="1">
    <dbPr connection="Provider=Microsoft.Mashup.OleDb.1;Data Source=$Workbook$;Location=&quot;Table_2330_113_03&quot;;Extended Properties=&quot;&quot;" commandType="0"/>
  </connection>
  <connection id="437" xr16:uid="{6574AF18-250E-40DC-BA7C-1AFA5C6DCB0E}" keepAlive="1" name="連線1390" type="5" refreshedVersion="0" background="1">
    <dbPr connection="Provider=Microsoft.Mashup.OleDb.1;Data Source=$Workbook$;Location=&quot;Table_2002_113_02&quot;;Extended Properties=&quot;&quot;" commandType="0"/>
  </connection>
  <connection id="438" xr16:uid="{D5A8E3C1-2C64-491F-9CC0-763DD1FDF05B}" keepAlive="1" name="連線1391" type="5" refreshedVersion="0" background="1">
    <dbPr connection="Provider=Microsoft.Mashup.OleDb.1;Data Source=$Workbook$;Location=&quot;Table_2002_113_01&quot;;Extended Properties=&quot;&quot;" commandType="0"/>
  </connection>
  <connection id="439" xr16:uid="{FB0BA104-C07C-4D85-920D-483A1235FEBE}" keepAlive="1" name="連線1392" type="5" refreshedVersion="0" background="1">
    <dbPr connection="Provider=Microsoft.Mashup.OleDb.1;Data Source=$Workbook$;Location=&quot;Table_2882_113_03&quot;;Extended Properties=&quot;&quot;" commandType="0"/>
  </connection>
  <connection id="440" xr16:uid="{FBB98589-6780-4AFB-961E-97BE8E95BBCD}" keepAlive="1" name="連線1393" type="5" refreshedVersion="0" background="1">
    <dbPr connection="Provider=Microsoft.Mashup.OleDb.1;Data Source=$Workbook$;Location=&quot;Table_2882_113_02&quot;;Extended Properties=&quot;&quot;" commandType="0"/>
  </connection>
  <connection id="441" xr16:uid="{CFC4A0F8-6168-48F2-8579-7EC2AA5A9715}" keepAlive="1" name="連線1394" type="5" refreshedVersion="0" background="1">
    <dbPr connection="Provider=Microsoft.Mashup.OleDb.1;Data Source=$Workbook$;Location=&quot;Table_2882_113_01&quot;;Extended Properties=&quot;&quot;" commandType="0"/>
  </connection>
  <connection id="442" xr16:uid="{45E9F8A8-0A13-4B57-989A-99FA98F81F3B}" keepAlive="1" name="連線1395" type="5" refreshedVersion="0" background="1">
    <dbPr connection="Provider=Microsoft.Mashup.OleDb.1;Data Source=$Workbook$;Location=&quot;Table_2330_113_08&quot;;Extended Properties=&quot;&quot;" commandType="0"/>
  </connection>
  <connection id="443" xr16:uid="{DE50A1D7-0DC6-46C7-BFAA-44CA6AE6DBE9}" keepAlive="1" name="連線1396" type="5" refreshedVersion="0" background="1">
    <dbPr connection="Provider=Microsoft.Mashup.OleDb.1;Data Source=$Workbook$;Location=&quot;Table_2330_113_07&quot;;Extended Properties=&quot;&quot;" commandType="0"/>
  </connection>
  <connection id="444" xr16:uid="{FA9A0E91-B559-418D-B46A-6BCEEC944BC4}" keepAlive="1" name="連線1397" type="5" refreshedVersion="0" background="1">
    <dbPr connection="Provider=Microsoft.Mashup.OleDb.1;Data Source=$Workbook$;Location=&quot;Table_2330_113_05&quot;;Extended Properties=&quot;&quot;" commandType="0"/>
  </connection>
  <connection id="445" xr16:uid="{0BD998B5-DC12-43D0-9E6C-233F8CB5EE84}" keepAlive="1" name="連線1398" type="5" refreshedVersion="0" background="1">
    <dbPr connection="Provider=Microsoft.Mashup.OleDb.1;Data Source=$Workbook$;Location=&quot;Table_1101_113_08&quot;;Extended Properties=&quot;&quot;" commandType="0"/>
  </connection>
  <connection id="446" xr16:uid="{2F08F38D-762C-44C3-A87F-AAFC8EB1A737}" keepAlive="1" name="連線1399" type="5" refreshedVersion="0" background="1">
    <dbPr connection="Provider=Microsoft.Mashup.OleDb.1;Data Source=$Workbook$;Location=&quot;Table_1101_113_07&quot;;Extended Properties=&quot;&quot;" commandType="0"/>
  </connection>
  <connection id="447" xr16:uid="{89D24D1B-C8F2-4B99-8485-EB83D9207956}" keepAlive="1" name="連線14" type="5" refreshedVersion="0" background="1">
    <dbPr connection="Provider=Microsoft.Mashup.OleDb.1;Data Source=$Workbook$;Location=&quot;Table 7&quot;;Extended Properties=&quot;&quot;" commandType="0"/>
  </connection>
  <connection id="448" xr16:uid="{C804DFCF-9501-4891-BE09-6D5F80E932AA}" keepAlive="1" name="連線140" type="5" refreshedVersion="0" background="1">
    <dbPr connection="Provider=Microsoft.Mashup.OleDb.1;Data Source=$Workbook$;Location=&quot;Table_2002_113_01&quot;;Extended Properties=&quot;&quot;" commandType="0"/>
  </connection>
  <connection id="449" xr16:uid="{8B4E297A-4581-47BA-814F-DE22A276F0CE}" keepAlive="1" name="連線1400" type="5" refreshedVersion="0" background="1">
    <dbPr connection="Provider=Microsoft.Mashup.OleDb.1;Data Source=$Workbook$;Location=&quot;Table_1101_113_05&quot;;Extended Properties=&quot;&quot;" commandType="0"/>
  </connection>
  <connection id="450" xr16:uid="{ACAA33AE-D4F0-4925-9BD3-575E98B48F5C}" keepAlive="1" name="連線1401" type="5" refreshedVersion="0" background="1">
    <dbPr connection="Provider=Microsoft.Mashup.OleDb.1;Data Source=$Workbook$;Location=&quot;Table_2912_113_08&quot;;Extended Properties=&quot;&quot;" commandType="0"/>
  </connection>
  <connection id="451" xr16:uid="{DED8C105-FAB9-4CD1-A635-A295ADE38955}" keepAlive="1" name="連線1402" type="5" refreshedVersion="0" background="1">
    <dbPr connection="Provider=Microsoft.Mashup.OleDb.1;Data Source=$Workbook$;Location=&quot;Table_2912_113_07&quot;;Extended Properties=&quot;&quot;" commandType="0"/>
  </connection>
  <connection id="452" xr16:uid="{EA7848B0-6391-45C3-9189-407983F00C99}" keepAlive="1" name="連線1403" type="5" refreshedVersion="0" background="1">
    <dbPr connection="Provider=Microsoft.Mashup.OleDb.1;Data Source=$Workbook$;Location=&quot;Table_2912_113_05&quot;;Extended Properties=&quot;&quot;" commandType="0"/>
  </connection>
  <connection id="453" xr16:uid="{5927BBB7-D454-4939-9C14-1ADF73F0C711}" keepAlive="1" name="連線1404" type="5" refreshedVersion="0" background="1">
    <dbPr connection="Provider=Microsoft.Mashup.OleDb.1;Data Source=$Workbook$;Location=&quot;Table_2002_113_08&quot;;Extended Properties=&quot;&quot;" commandType="0"/>
  </connection>
  <connection id="454" xr16:uid="{FD89F641-A012-4983-B35A-89B9A3D85A46}" keepAlive="1" name="連線1405" type="5" refreshedVersion="0" background="1">
    <dbPr connection="Provider=Microsoft.Mashup.OleDb.1;Data Source=$Workbook$;Location=&quot;Table_2002_113_07&quot;;Extended Properties=&quot;&quot;" commandType="0"/>
  </connection>
  <connection id="455" xr16:uid="{26F45980-4B90-418C-9163-D06EFB1D0B9B}" keepAlive="1" name="連線1406" type="5" refreshedVersion="0" background="1">
    <dbPr connection="Provider=Microsoft.Mashup.OleDb.1;Data Source=$Workbook$;Location=&quot;Table_2002_113_05&quot;;Extended Properties=&quot;&quot;" commandType="0"/>
  </connection>
  <connection id="456" xr16:uid="{5CA839FD-97D2-4A54-AF75-3B268B20C630}" keepAlive="1" name="連線1407" type="5" refreshedVersion="0" background="1">
    <dbPr connection="Provider=Microsoft.Mashup.OleDb.1;Data Source=$Workbook$;Location=&quot;Table_2882_113_08&quot;;Extended Properties=&quot;&quot;" commandType="0"/>
  </connection>
  <connection id="457" xr16:uid="{6C6D653F-62C3-4EC3-B66A-DE9C3F5F7200}" keepAlive="1" name="連線1408" type="5" refreshedVersion="0" background="1">
    <dbPr connection="Provider=Microsoft.Mashup.OleDb.1;Data Source=$Workbook$;Location=&quot;Table_2882_113_07&quot;;Extended Properties=&quot;&quot;" commandType="0"/>
  </connection>
  <connection id="458" xr16:uid="{7F4E489C-47DE-4B77-9E0F-F9F42202BA88}" keepAlive="1" name="連線1409" type="5" refreshedVersion="0" background="1">
    <dbPr connection="Provider=Microsoft.Mashup.OleDb.1;Data Source=$Workbook$;Location=&quot;Table_2882_113_05&quot;;Extended Properties=&quot;&quot;" commandType="0"/>
  </connection>
  <connection id="459" xr16:uid="{D560C9D9-3A4D-4E19-B63C-0B2D0F2E01D0}" keepAlive="1" name="連線141" type="5" refreshedVersion="0" background="1">
    <dbPr connection="Provider=Microsoft.Mashup.OleDb.1;Data Source=$Workbook$;Location=&quot;Table_2002_113_02&quot;;Extended Properties=&quot;&quot;" commandType="0"/>
  </connection>
  <connection id="460" xr16:uid="{9EC91D9B-109D-442A-B8E1-4D15238FBE32}" keepAlive="1" name="連線1410" type="5" refreshedVersion="0" background="1">
    <dbPr connection="Provider=Microsoft.Mashup.OleDb.1;Data Source=$Workbook$;Location=&quot;Table_2330_113_08&quot;;Extended Properties=&quot;&quot;" commandType="0"/>
  </connection>
  <connection id="461" xr16:uid="{48305C60-E6B3-428D-BD53-A148BAC0949D}" keepAlive="1" name="連線1411" type="5" refreshedVersion="0" background="1">
    <dbPr connection="Provider=Microsoft.Mashup.OleDb.1;Data Source=$Workbook$;Location=&quot;Table_2330_113_07&quot;;Extended Properties=&quot;&quot;" commandType="0"/>
  </connection>
  <connection id="462" xr16:uid="{F537EC67-9D2E-4E3E-B4EC-E90CFFA1AD35}" keepAlive="1" name="連線1412" type="5" refreshedVersion="0" background="1">
    <dbPr connection="Provider=Microsoft.Mashup.OleDb.1;Data Source=$Workbook$;Location=&quot;Table_2330_113_05&quot;;Extended Properties=&quot;&quot;" commandType="0"/>
  </connection>
  <connection id="463" xr16:uid="{461CA52F-663B-4F98-984C-91AE35DD09D3}" keepAlive="1" name="連線1413" type="5" refreshedVersion="0" background="1">
    <dbPr connection="Provider=Microsoft.Mashup.OleDb.1;Data Source=$Workbook$;Location=&quot;Table_1101_113_08&quot;;Extended Properties=&quot;&quot;" commandType="0"/>
  </connection>
  <connection id="464" xr16:uid="{1416BC78-3E10-477F-B62E-7399217CC6F3}" keepAlive="1" name="連線1414" type="5" refreshedVersion="0" background="1">
    <dbPr connection="Provider=Microsoft.Mashup.OleDb.1;Data Source=$Workbook$;Location=&quot;Table_1101_113_07&quot;;Extended Properties=&quot;&quot;" commandType="0"/>
  </connection>
  <connection id="465" xr16:uid="{FF4AD7D0-A12D-42D1-870E-34EFEFC3630F}" keepAlive="1" name="連線1415" type="5" refreshedVersion="0" background="1">
    <dbPr connection="Provider=Microsoft.Mashup.OleDb.1;Data Source=$Workbook$;Location=&quot;Table_1101_113_05&quot;;Extended Properties=&quot;&quot;" commandType="0"/>
  </connection>
  <connection id="466" xr16:uid="{DDBF180D-102C-4383-9D29-127518ECC62E}" keepAlive="1" name="連線1416" type="5" refreshedVersion="0" background="1">
    <dbPr connection="Provider=Microsoft.Mashup.OleDb.1;Data Source=$Workbook$;Location=&quot;Table_2912_113_08&quot;;Extended Properties=&quot;&quot;" commandType="0"/>
  </connection>
  <connection id="467" xr16:uid="{4A4FABB1-77A3-41BE-9E8A-12B3DCC95600}" keepAlive="1" name="連線1417" type="5" refreshedVersion="0" background="1">
    <dbPr connection="Provider=Microsoft.Mashup.OleDb.1;Data Source=$Workbook$;Location=&quot;Table_2912_113_07&quot;;Extended Properties=&quot;&quot;" commandType="0"/>
  </connection>
  <connection id="468" xr16:uid="{4E33129A-6294-48CD-9661-A062B242D255}" keepAlive="1" name="連線1418" type="5" refreshedVersion="0" background="1">
    <dbPr connection="Provider=Microsoft.Mashup.OleDb.1;Data Source=$Workbook$;Location=&quot;Table_2912_113_05&quot;;Extended Properties=&quot;&quot;" commandType="0"/>
  </connection>
  <connection id="469" xr16:uid="{238CE803-EB69-4ED5-99DF-DD3FC2E6E059}" keepAlive="1" name="連線1419" type="5" refreshedVersion="0" background="1">
    <dbPr connection="Provider=Microsoft.Mashup.OleDb.1;Data Source=$Workbook$;Location=&quot;Table_2002_113_08&quot;;Extended Properties=&quot;&quot;" commandType="0"/>
  </connection>
  <connection id="470" xr16:uid="{979B64E5-43AC-4EAB-A08D-3EC36BC19025}" keepAlive="1" name="連線142" type="5" refreshedVersion="0" background="1">
    <dbPr connection="Provider=Microsoft.Mashup.OleDb.1;Data Source=$Workbook$;Location=&quot;Table_2002_113_03&quot;;Extended Properties=&quot;&quot;" commandType="0"/>
  </connection>
  <connection id="471" xr16:uid="{101CF9B0-7B52-4D23-901C-26BB58057C62}" keepAlive="1" name="連線1420" type="5" refreshedVersion="0" background="1">
    <dbPr connection="Provider=Microsoft.Mashup.OleDb.1;Data Source=$Workbook$;Location=&quot;Table_2002_113_07&quot;;Extended Properties=&quot;&quot;" commandType="0"/>
  </connection>
  <connection id="472" xr16:uid="{622C5444-976F-47F6-A47B-83D6F6EB5C61}" keepAlive="1" name="連線1421" type="5" refreshedVersion="0" background="1">
    <dbPr connection="Provider=Microsoft.Mashup.OleDb.1;Data Source=$Workbook$;Location=&quot;Table_2002_113_05&quot;;Extended Properties=&quot;&quot;" commandType="0"/>
  </connection>
  <connection id="473" xr16:uid="{C1D058D1-DF1D-4E4D-BA57-E477ECBE66D7}" keepAlive="1" name="連線1422" type="5" refreshedVersion="0" background="1">
    <dbPr connection="Provider=Microsoft.Mashup.OleDb.1;Data Source=$Workbook$;Location=&quot;Table_2882_113_08&quot;;Extended Properties=&quot;&quot;" commandType="0"/>
  </connection>
  <connection id="474" xr16:uid="{C0238C5E-8D27-4FCA-A579-3E543E80ACD4}" keepAlive="1" name="連線1423" type="5" refreshedVersion="0" background="1">
    <dbPr connection="Provider=Microsoft.Mashup.OleDb.1;Data Source=$Workbook$;Location=&quot;Table_2882_113_07&quot;;Extended Properties=&quot;&quot;" commandType="0"/>
  </connection>
  <connection id="475" xr16:uid="{B51301F2-BE16-46EB-A28C-5C64910A2796}" keepAlive="1" name="連線1424" type="5" refreshedVersion="0" background="1">
    <dbPr connection="Provider=Microsoft.Mashup.OleDb.1;Data Source=$Workbook$;Location=&quot;Table_2882_113_05&quot;;Extended Properties=&quot;&quot;" commandType="0"/>
  </connection>
  <connection id="476" xr16:uid="{5B968216-589E-454E-8ACD-3D09A31139B6}" keepAlive="1" name="連線1425" type="5" refreshedVersion="0" background="1">
    <dbPr connection="Provider=Microsoft.Mashup.OleDb.1;Data Source=$Workbook$;Location=&quot;Table_2330_113_08&quot;;Extended Properties=&quot;&quot;" commandType="0"/>
  </connection>
  <connection id="477" xr16:uid="{A150CBF6-1F19-4CB6-8ED8-22295E1B444C}" keepAlive="1" name="連線1426" type="5" refreshedVersion="0" background="1">
    <dbPr connection="Provider=Microsoft.Mashup.OleDb.1;Data Source=$Workbook$;Location=&quot;Table_2330_113_07&quot;;Extended Properties=&quot;&quot;" commandType="0"/>
  </connection>
  <connection id="478" xr16:uid="{8CF94832-17AD-4A41-AA1D-9ABC23049F49}" keepAlive="1" name="連線1427" type="5" refreshedVersion="0" background="1">
    <dbPr connection="Provider=Microsoft.Mashup.OleDb.1;Data Source=$Workbook$;Location=&quot;Table_2330_113_05&quot;;Extended Properties=&quot;&quot;" commandType="0"/>
  </connection>
  <connection id="479" xr16:uid="{E7E1C265-35B5-4332-9D94-5D031B7DA47C}" keepAlive="1" name="連線1428" type="5" refreshedVersion="0" background="1">
    <dbPr connection="Provider=Microsoft.Mashup.OleDb.1;Data Source=$Workbook$;Location=&quot;Table_1101_113_08&quot;;Extended Properties=&quot;&quot;" commandType="0"/>
  </connection>
  <connection id="480" xr16:uid="{7A6A5740-10B0-49D0-9C38-90A67402CDB5}" keepAlive="1" name="連線1429" type="5" refreshedVersion="0" background="1">
    <dbPr connection="Provider=Microsoft.Mashup.OleDb.1;Data Source=$Workbook$;Location=&quot;Table_1101_113_07&quot;;Extended Properties=&quot;&quot;" commandType="0"/>
  </connection>
  <connection id="481" xr16:uid="{940326E0-A3D2-419C-899D-EC9AB39E429E}" keepAlive="1" name="連線143" type="5" refreshedVersion="0" background="1">
    <dbPr connection="Provider=Microsoft.Mashup.OleDb.1;Data Source=$Workbook$;Location=&quot;Table_投資組合比重__&quot;;Extended Properties=&quot;&quot;" commandType="0"/>
  </connection>
  <connection id="482" xr16:uid="{EF65DC20-502E-4B71-99AE-047FB7D1B546}" keepAlive="1" name="連線1430" type="5" refreshedVersion="0" background="1">
    <dbPr connection="Provider=Microsoft.Mashup.OleDb.1;Data Source=$Workbook$;Location=&quot;Table_1101_113_05&quot;;Extended Properties=&quot;&quot;" commandType="0"/>
  </connection>
  <connection id="483" xr16:uid="{4B7629B5-DA61-49C2-83D6-99BDDEB3E537}" keepAlive="1" name="連線1431" type="5" refreshedVersion="0" background="1">
    <dbPr connection="Provider=Microsoft.Mashup.OleDb.1;Data Source=$Workbook$;Location=&quot;Table_2912_113_08&quot;;Extended Properties=&quot;&quot;" commandType="0"/>
  </connection>
  <connection id="484" xr16:uid="{B6931D6B-D76C-40FE-BB54-32363A7F404A}" keepAlive="1" name="連線1432" type="5" refreshedVersion="0" background="1">
    <dbPr connection="Provider=Microsoft.Mashup.OleDb.1;Data Source=$Workbook$;Location=&quot;Table_2912_113_07&quot;;Extended Properties=&quot;&quot;" commandType="0"/>
  </connection>
  <connection id="485" xr16:uid="{A954880E-147A-48FC-885E-3D16D24321AE}" keepAlive="1" name="連線1433" type="5" refreshedVersion="0" background="1">
    <dbPr connection="Provider=Microsoft.Mashup.OleDb.1;Data Source=$Workbook$;Location=&quot;Table_2912_113_05&quot;;Extended Properties=&quot;&quot;" commandType="0"/>
  </connection>
  <connection id="486" xr16:uid="{8117C8BB-E441-4A74-8C5A-B1B8116CE374}" keepAlive="1" name="連線1434" type="5" refreshedVersion="0" background="1">
    <dbPr connection="Provider=Microsoft.Mashup.OleDb.1;Data Source=$Workbook$;Location=&quot;Table_2002_113_08&quot;;Extended Properties=&quot;&quot;" commandType="0"/>
  </connection>
  <connection id="487" xr16:uid="{146DD1BA-9806-4ECC-B5E7-39A37A3960A6}" keepAlive="1" name="連線1435" type="5" refreshedVersion="0" background="1">
    <dbPr connection="Provider=Microsoft.Mashup.OleDb.1;Data Source=$Workbook$;Location=&quot;Table_2002_113_07&quot;;Extended Properties=&quot;&quot;" commandType="0"/>
  </connection>
  <connection id="488" xr16:uid="{E021E275-D9E6-4F34-9DF3-4BDA6F95D76F}" keepAlive="1" name="連線1436" type="5" refreshedVersion="0" background="1">
    <dbPr connection="Provider=Microsoft.Mashup.OleDb.1;Data Source=$Workbook$;Location=&quot;Table_2002_113_05&quot;;Extended Properties=&quot;&quot;" commandType="0"/>
  </connection>
  <connection id="489" xr16:uid="{55F9274D-B15F-436E-9C5C-5BC859B33982}" keepAlive="1" name="連線1437" type="5" refreshedVersion="0" background="1">
    <dbPr connection="Provider=Microsoft.Mashup.OleDb.1;Data Source=$Workbook$;Location=&quot;Table_2882_113_08&quot;;Extended Properties=&quot;&quot;" commandType="0"/>
  </connection>
  <connection id="490" xr16:uid="{3C1A1675-1659-4E90-84B3-E66DA5D25848}" keepAlive="1" name="連線1438" type="5" refreshedVersion="0" background="1">
    <dbPr connection="Provider=Microsoft.Mashup.OleDb.1;Data Source=$Workbook$;Location=&quot;Table_2882_113_07&quot;;Extended Properties=&quot;&quot;" commandType="0"/>
  </connection>
  <connection id="491" xr16:uid="{96F59363-9FC0-4ED8-85F3-9E0F86B9F20D}" keepAlive="1" name="連線1439" type="5" refreshedVersion="0" background="1">
    <dbPr connection="Provider=Microsoft.Mashup.OleDb.1;Data Source=$Workbook$;Location=&quot;Table_2882_113_05&quot;;Extended Properties=&quot;&quot;" commandType="0"/>
  </connection>
  <connection id="492" xr16:uid="{65AAD4D4-0498-47F6-A620-62217761241D}" keepAlive="1" name="連線144" type="5" refreshedVersion="0" background="1">
    <dbPr connection="Provider=Microsoft.Mashup.OleDb.1;Data Source=$Workbook$;Location=&quot;Table_2330_113_01&quot;;Extended Properties=&quot;&quot;" commandType="0"/>
  </connection>
  <connection id="493" xr16:uid="{2A82FA7A-4449-4E5C-93C6-B316BD30666F}" keepAlive="1" name="連線1440" type="5" refreshedVersion="0" background="1">
    <dbPr connection="Provider=Microsoft.Mashup.OleDb.1;Data Source=$Workbook$;Location=&quot;Table_2330_113_08&quot;;Extended Properties=&quot;&quot;" commandType="0"/>
  </connection>
  <connection id="494" xr16:uid="{513A1D72-7D89-4029-BD3D-6E5A3A41CAE2}" keepAlive="1" name="連線1441" type="5" refreshedVersion="0" background="1">
    <dbPr connection="Provider=Microsoft.Mashup.OleDb.1;Data Source=$Workbook$;Location=&quot;Table_2330_113_07&quot;;Extended Properties=&quot;&quot;" commandType="0"/>
  </connection>
  <connection id="495" xr16:uid="{7116F51F-F352-4CCA-9CF7-C47CDB6BF0B8}" keepAlive="1" name="連線1442" type="5" refreshedVersion="0" background="1">
    <dbPr connection="Provider=Microsoft.Mashup.OleDb.1;Data Source=$Workbook$;Location=&quot;Table_2330_113_05&quot;;Extended Properties=&quot;&quot;" commandType="0"/>
  </connection>
  <connection id="496" xr16:uid="{4305DF64-0A76-4A0F-980C-46546DE74335}" keepAlive="1" name="連線1443" type="5" refreshedVersion="0" background="1">
    <dbPr connection="Provider=Microsoft.Mashup.OleDb.1;Data Source=$Workbook$;Location=&quot;Table_1101_113_08&quot;;Extended Properties=&quot;&quot;" commandType="0"/>
  </connection>
  <connection id="497" xr16:uid="{4D93F12B-742C-4FE0-9D60-11756BB7BD4E}" keepAlive="1" name="連線1444" type="5" refreshedVersion="0" background="1">
    <dbPr connection="Provider=Microsoft.Mashup.OleDb.1;Data Source=$Workbook$;Location=&quot;Table_1101_113_07&quot;;Extended Properties=&quot;&quot;" commandType="0"/>
  </connection>
  <connection id="498" xr16:uid="{1DA1EA8B-5D84-489E-AC95-EFC740975BD8}" keepAlive="1" name="連線1445" type="5" refreshedVersion="0" background="1">
    <dbPr connection="Provider=Microsoft.Mashup.OleDb.1;Data Source=$Workbook$;Location=&quot;Table_1101_113_05&quot;;Extended Properties=&quot;&quot;" commandType="0"/>
  </connection>
  <connection id="499" xr16:uid="{4669369C-490F-4648-A374-D8B7A6EC3A45}" keepAlive="1" name="連線1446" type="5" refreshedVersion="0" background="1">
    <dbPr connection="Provider=Microsoft.Mashup.OleDb.1;Data Source=$Workbook$;Location=&quot;Table_2912_113_08&quot;;Extended Properties=&quot;&quot;" commandType="0"/>
  </connection>
  <connection id="500" xr16:uid="{112C790A-5CC5-4651-B56E-46FE6A2545F3}" keepAlive="1" name="連線1447" type="5" refreshedVersion="0" background="1">
    <dbPr connection="Provider=Microsoft.Mashup.OleDb.1;Data Source=$Workbook$;Location=&quot;Table_2912_113_07&quot;;Extended Properties=&quot;&quot;" commandType="0"/>
  </connection>
  <connection id="501" xr16:uid="{493F33BE-A89D-4D6C-AA3C-41A72FFF86EF}" keepAlive="1" name="連線1448" type="5" refreshedVersion="0" background="1">
    <dbPr connection="Provider=Microsoft.Mashup.OleDb.1;Data Source=$Workbook$;Location=&quot;Table_2912_113_05&quot;;Extended Properties=&quot;&quot;" commandType="0"/>
  </connection>
  <connection id="502" xr16:uid="{21C56EEE-1CA9-469B-80B1-F32AEC059431}" keepAlive="1" name="連線1449" type="5" refreshedVersion="0" background="1">
    <dbPr connection="Provider=Microsoft.Mashup.OleDb.1;Data Source=$Workbook$;Location=&quot;Table_2002_113_08&quot;;Extended Properties=&quot;&quot;" commandType="0"/>
  </connection>
  <connection id="503" xr16:uid="{10202338-56B3-487F-9FAC-9C2A1D5F1A65}" keepAlive="1" name="連線145" type="5" refreshedVersion="0" background="1">
    <dbPr connection="Provider=Microsoft.Mashup.OleDb.1;Data Source=$Workbook$;Location=&quot;Table_2330_113_02&quot;;Extended Properties=&quot;&quot;" commandType="0"/>
  </connection>
  <connection id="504" xr16:uid="{7F5853D4-EC56-4CEE-B8A0-85F43DABD0CD}" keepAlive="1" name="連線1450" type="5" refreshedVersion="0" background="1">
    <dbPr connection="Provider=Microsoft.Mashup.OleDb.1;Data Source=$Workbook$;Location=&quot;Table_2002_113_07&quot;;Extended Properties=&quot;&quot;" commandType="0"/>
  </connection>
  <connection id="505" xr16:uid="{D70D904D-E77B-4101-9E7A-F9A47A8EB850}" keepAlive="1" name="連線1451" type="5" refreshedVersion="0" background="1">
    <dbPr connection="Provider=Microsoft.Mashup.OleDb.1;Data Source=$Workbook$;Location=&quot;Table_2002_113_05&quot;;Extended Properties=&quot;&quot;" commandType="0"/>
  </connection>
  <connection id="506" xr16:uid="{47EF7BC0-E118-4406-9062-03E9A5D2ED7A}" keepAlive="1" name="連線1452" type="5" refreshedVersion="0" background="1">
    <dbPr connection="Provider=Microsoft.Mashup.OleDb.1;Data Source=$Workbook$;Location=&quot;Table_2882_113_08&quot;;Extended Properties=&quot;&quot;" commandType="0"/>
  </connection>
  <connection id="507" xr16:uid="{4F043258-5CDD-47EC-8FDB-03EE204FF7AA}" keepAlive="1" name="連線1453" type="5" refreshedVersion="0" background="1">
    <dbPr connection="Provider=Microsoft.Mashup.OleDb.1;Data Source=$Workbook$;Location=&quot;Table_2882_113_07&quot;;Extended Properties=&quot;&quot;" commandType="0"/>
  </connection>
  <connection id="508" xr16:uid="{0D7BA0EA-06EF-4A60-A824-B48CE199B0DC}" keepAlive="1" name="連線1454" type="5" refreshedVersion="0" background="1">
    <dbPr connection="Provider=Microsoft.Mashup.OleDb.1;Data Source=$Workbook$;Location=&quot;Table_2882_113_05&quot;;Extended Properties=&quot;&quot;" commandType="0"/>
  </connection>
  <connection id="509" xr16:uid="{EE46DD4E-9721-4B89-8007-406E7091EA35}" keepAlive="1" name="連線1455" type="5" refreshedVersion="0" background="1">
    <dbPr connection="Provider=Microsoft.Mashup.OleDb.1;Data Source=$Workbook$;Location=&quot;Table_2330_113_08&quot;;Extended Properties=&quot;&quot;" commandType="0"/>
  </connection>
  <connection id="510" xr16:uid="{C5137B2C-568F-4401-8CFE-10763090C2E4}" keepAlive="1" name="連線1456" type="5" refreshedVersion="0" background="1">
    <dbPr connection="Provider=Microsoft.Mashup.OleDb.1;Data Source=$Workbook$;Location=&quot;Table_2330_113_07&quot;;Extended Properties=&quot;&quot;" commandType="0"/>
  </connection>
  <connection id="511" xr16:uid="{BF170612-B5DD-4471-8F97-EAECD3CB431F}" keepAlive="1" name="連線1457" type="5" refreshedVersion="0" background="1">
    <dbPr connection="Provider=Microsoft.Mashup.OleDb.1;Data Source=$Workbook$;Location=&quot;Table_2330_113_05&quot;;Extended Properties=&quot;&quot;" commandType="0"/>
  </connection>
  <connection id="512" xr16:uid="{17F0C9C0-C84F-4CB0-AFEE-7C591CBB222B}" keepAlive="1" name="連線1458" type="5" refreshedVersion="0" background="1">
    <dbPr connection="Provider=Microsoft.Mashup.OleDb.1;Data Source=$Workbook$;Location=&quot;Table_1101_113_08&quot;;Extended Properties=&quot;&quot;" commandType="0"/>
  </connection>
  <connection id="513" xr16:uid="{B40D38FB-3BAD-4B16-BA00-5CE2BF609750}" keepAlive="1" name="連線1459" type="5" refreshedVersion="0" background="1">
    <dbPr connection="Provider=Microsoft.Mashup.OleDb.1;Data Source=$Workbook$;Location=&quot;Table_1101_113_07&quot;;Extended Properties=&quot;&quot;" commandType="0"/>
  </connection>
  <connection id="514" xr16:uid="{80489249-DD60-48CA-A46E-1A61AEED0EB3}" keepAlive="1" name="連線146" type="5" refreshedVersion="0" background="1">
    <dbPr connection="Provider=Microsoft.Mashup.OleDb.1;Data Source=$Workbook$;Location=&quot;Table_2330_113_03&quot;;Extended Properties=&quot;&quot;" commandType="0"/>
  </connection>
  <connection id="515" xr16:uid="{452F9A3D-66B8-440A-A378-1E17475D761A}" keepAlive="1" name="連線1460" type="5" refreshedVersion="0" background="1">
    <dbPr connection="Provider=Microsoft.Mashup.OleDb.1;Data Source=$Workbook$;Location=&quot;Table_1101_113_05&quot;;Extended Properties=&quot;&quot;" commandType="0"/>
  </connection>
  <connection id="516" xr16:uid="{0C46B717-74B7-4C21-A65D-0E2B2DE5F5DA}" keepAlive="1" name="連線1461" type="5" refreshedVersion="0" background="1">
    <dbPr connection="Provider=Microsoft.Mashup.OleDb.1;Data Source=$Workbook$;Location=&quot;Table_2912_113_08&quot;;Extended Properties=&quot;&quot;" commandType="0"/>
  </connection>
  <connection id="517" xr16:uid="{78E772C8-640E-486B-A1E8-80917599F4D8}" keepAlive="1" name="連線1462" type="5" refreshedVersion="0" background="1">
    <dbPr connection="Provider=Microsoft.Mashup.OleDb.1;Data Source=$Workbook$;Location=&quot;Table_2912_113_07&quot;;Extended Properties=&quot;&quot;" commandType="0"/>
  </connection>
  <connection id="518" xr16:uid="{FD825D0B-899B-4429-A974-DA147ABFD76D}" keepAlive="1" name="連線1463" type="5" refreshedVersion="0" background="1">
    <dbPr connection="Provider=Microsoft.Mashup.OleDb.1;Data Source=$Workbook$;Location=&quot;Table_2912_113_05&quot;;Extended Properties=&quot;&quot;" commandType="0"/>
  </connection>
  <connection id="519" xr16:uid="{17CEEE13-8930-49D8-B649-25C0A2F7EB96}" keepAlive="1" name="連線1464" type="5" refreshedVersion="0" background="1">
    <dbPr connection="Provider=Microsoft.Mashup.OleDb.1;Data Source=$Workbook$;Location=&quot;Table_2002_113_08&quot;;Extended Properties=&quot;&quot;" commandType="0"/>
  </connection>
  <connection id="520" xr16:uid="{1421A9F1-DD84-4962-8BDB-5A54B344ADA1}" keepAlive="1" name="連線1465" type="5" refreshedVersion="0" background="1">
    <dbPr connection="Provider=Microsoft.Mashup.OleDb.1;Data Source=$Workbook$;Location=&quot;Table_2002_113_07&quot;;Extended Properties=&quot;&quot;" commandType="0"/>
  </connection>
  <connection id="521" xr16:uid="{19F8E476-55EB-4C3B-B9EE-AF1ED2536695}" keepAlive="1" name="連線1466" type="5" refreshedVersion="0" background="1">
    <dbPr connection="Provider=Microsoft.Mashup.OleDb.1;Data Source=$Workbook$;Location=&quot;Table_2002_113_05&quot;;Extended Properties=&quot;&quot;" commandType="0"/>
  </connection>
  <connection id="522" xr16:uid="{BD68ACB4-C0FB-454E-9273-2398FFAB87BE}" keepAlive="1" name="連線1467" type="5" refreshedVersion="0" background="1">
    <dbPr connection="Provider=Microsoft.Mashup.OleDb.1;Data Source=$Workbook$;Location=&quot;Table_2882_113_08&quot;;Extended Properties=&quot;&quot;" commandType="0"/>
  </connection>
  <connection id="523" xr16:uid="{9A766B4A-72CC-4D33-8876-A8A6D66541DF}" keepAlive="1" name="連線1468" type="5" refreshedVersion="0" background="1">
    <dbPr connection="Provider=Microsoft.Mashup.OleDb.1;Data Source=$Workbook$;Location=&quot;Table_2882_113_07&quot;;Extended Properties=&quot;&quot;" commandType="0"/>
  </connection>
  <connection id="524" xr16:uid="{BAA74345-5C31-4C4A-A0A3-E99D0462DC57}" keepAlive="1" name="連線1469" type="5" refreshedVersion="0" background="1">
    <dbPr connection="Provider=Microsoft.Mashup.OleDb.1;Data Source=$Workbook$;Location=&quot;Table_2882_113_05&quot;;Extended Properties=&quot;&quot;" commandType="0"/>
  </connection>
  <connection id="525" xr16:uid="{925708CE-1144-4C92-AD7A-67A51B57F0BD}" keepAlive="1" name="連線147" type="5" refreshedVersion="0" background="1">
    <dbPr connection="Provider=Microsoft.Mashup.OleDb.1;Data Source=$Workbook$;Location=&quot;Table_2002_113_01&quot;;Extended Properties=&quot;&quot;" commandType="0"/>
  </connection>
  <connection id="526" xr16:uid="{EF6874BD-BA10-4BF4-8A29-F4B75A5774D0}" keepAlive="1" name="連線1470" type="5" refreshedVersion="0" background="1">
    <dbPr connection="Provider=Microsoft.Mashup.OleDb.1;Data Source=$Workbook$;Location=&quot;Table_2330_113_08&quot;;Extended Properties=&quot;&quot;" commandType="0"/>
  </connection>
  <connection id="527" xr16:uid="{13000137-9EA1-4C48-A527-6E9D160847E7}" keepAlive="1" name="連線1471" type="5" refreshedVersion="0" background="1">
    <dbPr connection="Provider=Microsoft.Mashup.OleDb.1;Data Source=$Workbook$;Location=&quot;Table_2330_113_07&quot;;Extended Properties=&quot;&quot;" commandType="0"/>
  </connection>
  <connection id="528" xr16:uid="{164A82F7-FB6E-4B78-8033-211D4AFAAB3F}" keepAlive="1" name="連線1472" type="5" refreshedVersion="0" background="1">
    <dbPr connection="Provider=Microsoft.Mashup.OleDb.1;Data Source=$Workbook$;Location=&quot;Table_2330_113_05&quot;;Extended Properties=&quot;&quot;" commandType="0"/>
  </connection>
  <connection id="529" xr16:uid="{56C2452B-3A3D-427B-A06D-230DB3822164}" keepAlive="1" name="連線1473" type="5" refreshedVersion="0" background="1">
    <dbPr connection="Provider=Microsoft.Mashup.OleDb.1;Data Source=$Workbook$;Location=&quot;Table_1101_113_08&quot;;Extended Properties=&quot;&quot;" commandType="0"/>
  </connection>
  <connection id="530" xr16:uid="{45B67CE5-BE92-4B6F-83B1-BB0CD225319D}" keepAlive="1" name="連線1474" type="5" refreshedVersion="0" background="1">
    <dbPr connection="Provider=Microsoft.Mashup.OleDb.1;Data Source=$Workbook$;Location=&quot;Table_1101_113_07&quot;;Extended Properties=&quot;&quot;" commandType="0"/>
  </connection>
  <connection id="531" xr16:uid="{CDE07850-9085-4750-8D72-E78E74C881A8}" keepAlive="1" name="連線1475" type="5" refreshedVersion="0" background="1">
    <dbPr connection="Provider=Microsoft.Mashup.OleDb.1;Data Source=$Workbook$;Location=&quot;Table_1101_113_05&quot;;Extended Properties=&quot;&quot;" commandType="0"/>
  </connection>
  <connection id="532" xr16:uid="{B28495A1-A692-423E-B461-9943C28C575B}" keepAlive="1" name="連線1476" type="5" refreshedVersion="0" background="1">
    <dbPr connection="Provider=Microsoft.Mashup.OleDb.1;Data Source=$Workbook$;Location=&quot;Table_2912_113_08&quot;;Extended Properties=&quot;&quot;" commandType="0"/>
  </connection>
  <connection id="533" xr16:uid="{0504C0EB-9B25-42A3-83EC-C1F99C164B0C}" keepAlive="1" name="連線1477" type="5" refreshedVersion="0" background="1">
    <dbPr connection="Provider=Microsoft.Mashup.OleDb.1;Data Source=$Workbook$;Location=&quot;Table_2912_113_07&quot;;Extended Properties=&quot;&quot;" commandType="0"/>
  </connection>
  <connection id="534" xr16:uid="{41E82796-447C-4962-B82F-084019DD17CD}" keepAlive="1" name="連線1478" type="5" refreshedVersion="0" background="1">
    <dbPr connection="Provider=Microsoft.Mashup.OleDb.1;Data Source=$Workbook$;Location=&quot;Table_2912_113_05&quot;;Extended Properties=&quot;&quot;" commandType="0"/>
  </connection>
  <connection id="535" xr16:uid="{D7CA2D6D-F20C-4D94-BB24-5242F201EE74}" keepAlive="1" name="連線1479" type="5" refreshedVersion="0" background="1">
    <dbPr connection="Provider=Microsoft.Mashup.OleDb.1;Data Source=$Workbook$;Location=&quot;Table_2002_113_08&quot;;Extended Properties=&quot;&quot;" commandType="0"/>
  </connection>
  <connection id="536" xr16:uid="{4C282898-6030-46CE-885E-1A0359F4AE89}" keepAlive="1" name="連線148" type="5" refreshedVersion="0" background="1">
    <dbPr connection="Provider=Microsoft.Mashup.OleDb.1;Data Source=$Workbook$;Location=&quot;Table_2002_113_02&quot;;Extended Properties=&quot;&quot;" commandType="0"/>
  </connection>
  <connection id="537" xr16:uid="{1942840C-751F-4F4F-8259-11ED3E6A8930}" keepAlive="1" name="連線1480" type="5" refreshedVersion="0" background="1">
    <dbPr connection="Provider=Microsoft.Mashup.OleDb.1;Data Source=$Workbook$;Location=&quot;Table_2002_113_07&quot;;Extended Properties=&quot;&quot;" commandType="0"/>
  </connection>
  <connection id="538" xr16:uid="{374141FB-CDD6-4AC0-A172-B0C5A4F16A38}" keepAlive="1" name="連線1481" type="5" refreshedVersion="0" background="1">
    <dbPr connection="Provider=Microsoft.Mashup.OleDb.1;Data Source=$Workbook$;Location=&quot;Table_2002_113_05&quot;;Extended Properties=&quot;&quot;" commandType="0"/>
  </connection>
  <connection id="539" xr16:uid="{17484DA0-04F1-4CB3-81AA-92FE6FFCF855}" keepAlive="1" name="連線1482" type="5" refreshedVersion="0" background="1">
    <dbPr connection="Provider=Microsoft.Mashup.OleDb.1;Data Source=$Workbook$;Location=&quot;Table_2882_113_08&quot;;Extended Properties=&quot;&quot;" commandType="0"/>
  </connection>
  <connection id="540" xr16:uid="{D07D98C0-C27D-4F20-8182-8C44CA57DD24}" keepAlive="1" name="連線1483" type="5" refreshedVersion="0" background="1">
    <dbPr connection="Provider=Microsoft.Mashup.OleDb.1;Data Source=$Workbook$;Location=&quot;Table_2882_113_07&quot;;Extended Properties=&quot;&quot;" commandType="0"/>
  </connection>
  <connection id="541" xr16:uid="{2A20AAC4-C6C6-4F1F-8857-87C4D3B7AF63}" keepAlive="1" name="連線1484" type="5" refreshedVersion="0" background="1">
    <dbPr connection="Provider=Microsoft.Mashup.OleDb.1;Data Source=$Workbook$;Location=&quot;Table_2882_113_05&quot;;Extended Properties=&quot;&quot;" commandType="0"/>
  </connection>
  <connection id="542" xr16:uid="{FFDCEA43-4DD3-4F95-818A-E667A0574530}" keepAlive="1" name="連線1485" type="5" refreshedVersion="0" background="1">
    <dbPr connection="Provider=Microsoft.Mashup.OleDb.1;Data Source=$Workbook$;Location=&quot;Table_2330_113_03&quot;;Extended Properties=&quot;&quot;" commandType="0"/>
  </connection>
  <connection id="543" xr16:uid="{167ECCC2-148F-4D76-9967-78F542AFFC46}" keepAlive="1" name="連線1486" type="5" refreshedVersion="0" background="1">
    <dbPr connection="Provider=Microsoft.Mashup.OleDb.1;Data Source=$Workbook$;Location=&quot;Table_2330_113_02&quot;;Extended Properties=&quot;&quot;" commandType="0"/>
  </connection>
  <connection id="544" xr16:uid="{E1147A39-37A3-447C-9EEF-2D7DC2655B25}" keepAlive="1" name="連線1487" type="5" refreshedVersion="0" background="1">
    <dbPr connection="Provider=Microsoft.Mashup.OleDb.1;Data Source=$Workbook$;Location=&quot;Table_2330_113_01&quot;;Extended Properties=&quot;&quot;" commandType="0"/>
  </connection>
  <connection id="545" xr16:uid="{D5B35F2E-1635-4484-99F5-8420E9765AF6}" keepAlive="1" name="連線1488" type="5" refreshedVersion="0" background="1">
    <dbPr connection="Provider=Microsoft.Mashup.OleDb.1;Data Source=$Workbook$;Location=&quot;Table_1101_113_03&quot;;Extended Properties=&quot;&quot;" commandType="0"/>
  </connection>
  <connection id="546" xr16:uid="{14C1B90B-9B4C-45DC-AEA2-0671531529BF}" keepAlive="1" name="連線1489" type="5" refreshedVersion="0" background="1">
    <dbPr connection="Provider=Microsoft.Mashup.OleDb.1;Data Source=$Workbook$;Location=&quot;Table_1101_113_02&quot;;Extended Properties=&quot;&quot;" commandType="0"/>
  </connection>
  <connection id="547" xr16:uid="{ADFF111E-C51C-4D5B-9499-4DFFF82194F4}" keepAlive="1" name="連線149" type="5" refreshedVersion="0" background="1">
    <dbPr connection="Provider=Microsoft.Mashup.OleDb.1;Data Source=$Workbook$;Location=&quot;Table_2002_113_03&quot;;Extended Properties=&quot;&quot;" commandType="0"/>
  </connection>
  <connection id="548" xr16:uid="{02CCB248-1994-4A77-8CAC-930C4DF3DAAE}" keepAlive="1" name="連線1490" type="5" refreshedVersion="0" background="1">
    <dbPr connection="Provider=Microsoft.Mashup.OleDb.1;Data Source=$Workbook$;Location=&quot;Table_1101_113_01&quot;;Extended Properties=&quot;&quot;" commandType="0"/>
  </connection>
  <connection id="549" xr16:uid="{3226D0B4-5DF1-4D9C-BC13-16364285D361}" keepAlive="1" name="連線1491" type="5" refreshedVersion="0" background="1">
    <dbPr connection="Provider=Microsoft.Mashup.OleDb.1;Data Source=$Workbook$;Location=&quot;Table_2912_113_03&quot;;Extended Properties=&quot;&quot;" commandType="0"/>
  </connection>
  <connection id="550" xr16:uid="{DD7E8B47-C47A-4FD2-B766-E6B30A13F2FA}" keepAlive="1" name="連線1492" type="5" refreshedVersion="0" background="1">
    <dbPr connection="Provider=Microsoft.Mashup.OleDb.1;Data Source=$Workbook$;Location=&quot;Table_2912_113_02&quot;;Extended Properties=&quot;&quot;" commandType="0"/>
  </connection>
  <connection id="551" xr16:uid="{4F08FF58-80F4-4C72-AF53-3AF88890D5BD}" keepAlive="1" name="連線1493" type="5" refreshedVersion="0" background="1">
    <dbPr connection="Provider=Microsoft.Mashup.OleDb.1;Data Source=$Workbook$;Location=&quot;Table_2912_113_01&quot;;Extended Properties=&quot;&quot;" commandType="0"/>
  </connection>
  <connection id="552" xr16:uid="{8B022E4F-7611-4EA4-A271-18B3126A16B0}" keepAlive="1" name="連線1494" type="5" refreshedVersion="0" background="1">
    <dbPr connection="Provider=Microsoft.Mashup.OleDb.1;Data Source=$Workbook$;Location=&quot;Table_2002_113_03&quot;;Extended Properties=&quot;&quot;" commandType="0"/>
  </connection>
  <connection id="553" xr16:uid="{540FEE0B-C182-4D14-AC9C-5442DA4758CF}" keepAlive="1" name="連線1495" type="5" refreshedVersion="0" background="1">
    <dbPr connection="Provider=Microsoft.Mashup.OleDb.1;Data Source=$Workbook$;Location=&quot;Table_2002_113_02&quot;;Extended Properties=&quot;&quot;" commandType="0"/>
  </connection>
  <connection id="554" xr16:uid="{4D36A1C2-47D0-44B7-B1F4-BB70B2E206D0}" keepAlive="1" name="連線1496" type="5" refreshedVersion="0" background="1">
    <dbPr connection="Provider=Microsoft.Mashup.OleDb.1;Data Source=$Workbook$;Location=&quot;Table_2002_113_01&quot;;Extended Properties=&quot;&quot;" commandType="0"/>
  </connection>
  <connection id="555" xr16:uid="{EBEDCE41-7481-4B22-B7CB-C86E7CD691E0}" keepAlive="1" name="連線1497" type="5" refreshedVersion="0" background="1">
    <dbPr connection="Provider=Microsoft.Mashup.OleDb.1;Data Source=$Workbook$;Location=&quot;Table_2882_113_03&quot;;Extended Properties=&quot;&quot;" commandType="0"/>
  </connection>
  <connection id="556" xr16:uid="{29FE56D3-052C-4EFF-B512-160A379C4E9D}" keepAlive="1" name="連線1498" type="5" refreshedVersion="0" background="1">
    <dbPr connection="Provider=Microsoft.Mashup.OleDb.1;Data Source=$Workbook$;Location=&quot;Table_2882_113_02&quot;;Extended Properties=&quot;&quot;" commandType="0"/>
  </connection>
  <connection id="557" xr16:uid="{35CB4B59-B3B1-4545-ABC5-6F79F7BF790F}" keepAlive="1" name="連線1499" type="5" refreshedVersion="0" background="1">
    <dbPr connection="Provider=Microsoft.Mashup.OleDb.1;Data Source=$Workbook$;Location=&quot;Table_2882_113_01&quot;;Extended Properties=&quot;&quot;" commandType="0"/>
  </connection>
  <connection id="558" xr16:uid="{E67C5C56-2673-41A1-AD5D-DB14267B09EE}" keepAlive="1" name="連線15" type="5" refreshedVersion="0" background="1">
    <dbPr connection="Provider=Microsoft.Mashup.OleDb.1;Data Source=$Workbook$;Location=&quot;Table 3&quot;;Extended Properties=&quot;&quot;" commandType="0"/>
  </connection>
  <connection id="559" xr16:uid="{8BA7A490-04AC-4D2A-A3CB-CD5D12CFBE5F}" keepAlive="1" name="連線150" type="5" refreshedVersion="0" background="1">
    <dbPr connection="Provider=Microsoft.Mashup.OleDb.1;Data Source=$Workbook$;Location=&quot;Table_投資組合比重__&quot;;Extended Properties=&quot;&quot;" commandType="0"/>
  </connection>
  <connection id="560" xr16:uid="{23255AFB-6FB7-449E-A2F6-BDF45345144E}" keepAlive="1" name="連線1500" type="5" refreshedVersion="0" background="1">
    <dbPr connection="Provider=Microsoft.Mashup.OleDb.1;Data Source=$Workbook$;Location=&quot;Table_2330_113_06&quot;;Extended Properties=&quot;&quot;" commandType="0"/>
  </connection>
  <connection id="561" xr16:uid="{6EE41E38-60D4-45C3-86A0-389CC7A0168A}" keepAlive="1" name="連線1501" type="5" refreshedVersion="0" background="1">
    <dbPr connection="Provider=Microsoft.Mashup.OleDb.1;Data Source=$Workbook$;Location=&quot;Table_2330_113_05&quot;;Extended Properties=&quot;&quot;" commandType="0"/>
  </connection>
  <connection id="562" xr16:uid="{7E6C05C2-4687-4AB9-B401-636929143645}" keepAlive="1" name="連線1502" type="5" refreshedVersion="0" background="1">
    <dbPr connection="Provider=Microsoft.Mashup.OleDb.1;Data Source=$Workbook$;Location=&quot;Table_2330_113_04&quot;;Extended Properties=&quot;&quot;" commandType="0"/>
  </connection>
  <connection id="563" xr16:uid="{1E8FAA13-81BC-4B6C-AB2D-A8491B1458A1}" keepAlive="1" name="連線1503" type="5" refreshedVersion="0" background="1">
    <dbPr connection="Provider=Microsoft.Mashup.OleDb.1;Data Source=$Workbook$;Location=&quot;Table_1101_113_06&quot;;Extended Properties=&quot;&quot;" commandType="0"/>
  </connection>
  <connection id="564" xr16:uid="{912C5F28-946B-4393-8C81-77E6DC69C368}" keepAlive="1" name="連線1504" type="5" refreshedVersion="0" background="1">
    <dbPr connection="Provider=Microsoft.Mashup.OleDb.1;Data Source=$Workbook$;Location=&quot;Table_1101_113_05&quot;;Extended Properties=&quot;&quot;" commandType="0"/>
  </connection>
  <connection id="565" xr16:uid="{77BC0E10-0D92-454D-912D-27288132693B}" keepAlive="1" name="連線1505" type="5" refreshedVersion="0" background="1">
    <dbPr connection="Provider=Microsoft.Mashup.OleDb.1;Data Source=$Workbook$;Location=&quot;Table_1101_113_04&quot;;Extended Properties=&quot;&quot;" commandType="0"/>
  </connection>
  <connection id="566" xr16:uid="{0E5CED12-0F84-4AED-9981-3C9A2F9F877B}" keepAlive="1" name="連線1506" type="5" refreshedVersion="0" background="1">
    <dbPr connection="Provider=Microsoft.Mashup.OleDb.1;Data Source=$Workbook$;Location=&quot;Table_2912_113_06&quot;;Extended Properties=&quot;&quot;" commandType="0"/>
  </connection>
  <connection id="567" xr16:uid="{EED02D3E-5DC5-482B-BB75-3D89F5550144}" keepAlive="1" name="連線1507" type="5" refreshedVersion="0" background="1">
    <dbPr connection="Provider=Microsoft.Mashup.OleDb.1;Data Source=$Workbook$;Location=&quot;Table_2912_113_05&quot;;Extended Properties=&quot;&quot;" commandType="0"/>
  </connection>
  <connection id="568" xr16:uid="{3A9A33EC-F73B-498A-8F39-648250110A5B}" keepAlive="1" name="連線1508" type="5" refreshedVersion="0" background="1">
    <dbPr connection="Provider=Microsoft.Mashup.OleDb.1;Data Source=$Workbook$;Location=&quot;Table_2912_113_04&quot;;Extended Properties=&quot;&quot;" commandType="0"/>
  </connection>
  <connection id="569" xr16:uid="{A0E40FD0-9ABA-47E5-B141-8405EE89585A}" keepAlive="1" name="連線1509" type="5" refreshedVersion="0" background="1">
    <dbPr connection="Provider=Microsoft.Mashup.OleDb.1;Data Source=$Workbook$;Location=&quot;Table_2002_113_06&quot;;Extended Properties=&quot;&quot;" commandType="0"/>
  </connection>
  <connection id="570" xr16:uid="{D6E8BF66-A608-49B2-A1B3-16C8A4B2FB83}" keepAlive="1" name="連線151" type="5" refreshedVersion="0" background="1">
    <dbPr connection="Provider=Microsoft.Mashup.OleDb.1;Data Source=$Workbook$;Location=&quot;Table_2330_113_01&quot;;Extended Properties=&quot;&quot;" commandType="0"/>
  </connection>
  <connection id="571" xr16:uid="{1113C74B-6F7B-437D-BB97-A6FA6D4A8E6D}" keepAlive="1" name="連線1510" type="5" refreshedVersion="0" background="1">
    <dbPr connection="Provider=Microsoft.Mashup.OleDb.1;Data Source=$Workbook$;Location=&quot;Table_2002_113_05&quot;;Extended Properties=&quot;&quot;" commandType="0"/>
  </connection>
  <connection id="572" xr16:uid="{32AE527A-845A-42A8-9F69-2991D53D7D88}" keepAlive="1" name="連線1511" type="5" refreshedVersion="0" background="1">
    <dbPr connection="Provider=Microsoft.Mashup.OleDb.1;Data Source=$Workbook$;Location=&quot;Table_2002_113_04&quot;;Extended Properties=&quot;&quot;" commandType="0"/>
  </connection>
  <connection id="573" xr16:uid="{C49FD973-767C-4A0C-8968-CD4F6FFFDC53}" keepAlive="1" name="連線1512" type="5" refreshedVersion="0" background="1">
    <dbPr connection="Provider=Microsoft.Mashup.OleDb.1;Data Source=$Workbook$;Location=&quot;Table_2882_113_06&quot;;Extended Properties=&quot;&quot;" commandType="0"/>
  </connection>
  <connection id="574" xr16:uid="{AAB239FF-F4F7-4196-9368-A3479EA790F2}" keepAlive="1" name="連線1513" type="5" refreshedVersion="0" background="1">
    <dbPr connection="Provider=Microsoft.Mashup.OleDb.1;Data Source=$Workbook$;Location=&quot;Table_2882_113_05&quot;;Extended Properties=&quot;&quot;" commandType="0"/>
  </connection>
  <connection id="575" xr16:uid="{E274E2EE-8787-4F39-B5F3-54243A8A2EA1}" keepAlive="1" name="連線1514" type="5" refreshedVersion="0" background="1">
    <dbPr connection="Provider=Microsoft.Mashup.OleDb.1;Data Source=$Workbook$;Location=&quot;Table_2882_113_04&quot;;Extended Properties=&quot;&quot;" commandType="0"/>
  </connection>
  <connection id="576" xr16:uid="{458D9FB0-C5E7-4D71-970B-7002DAF35E51}" keepAlive="1" name="連線1515" type="5" refreshedVersion="0" background="1">
    <dbPr connection="Provider=Microsoft.Mashup.OleDb.1;Data Source=$Workbook$;Location=&quot;Table_2330_112_06&quot;;Extended Properties=&quot;&quot;" commandType="0"/>
  </connection>
  <connection id="577" xr16:uid="{184E59B0-E455-4129-8C51-3C332220A703}" keepAlive="1" name="連線1516" type="5" refreshedVersion="0" background="1">
    <dbPr connection="Provider=Microsoft.Mashup.OleDb.1;Data Source=$Workbook$;Location=&quot;Table_2330_112_05&quot;;Extended Properties=&quot;&quot;" commandType="0"/>
  </connection>
  <connection id="578" xr16:uid="{81AA3185-22B7-481C-8C50-CB2843C3C528}" keepAlive="1" name="連線1517" type="5" refreshedVersion="0" background="1">
    <dbPr connection="Provider=Microsoft.Mashup.OleDb.1;Data Source=$Workbook$;Location=&quot;Table_2330_112_04&quot;;Extended Properties=&quot;&quot;" commandType="0"/>
  </connection>
  <connection id="579" xr16:uid="{5EBD9791-9D52-4644-842B-4AB6E32D6DF7}" keepAlive="1" name="連線1518" type="5" refreshedVersion="0" background="1">
    <dbPr connection="Provider=Microsoft.Mashup.OleDb.1;Data Source=$Workbook$;Location=&quot;Table_1101_112_06&quot;;Extended Properties=&quot;&quot;" commandType="0"/>
  </connection>
  <connection id="580" xr16:uid="{97EBA01A-52C5-497D-BD10-E0097AAEE4A5}" keepAlive="1" name="連線1519" type="5" refreshedVersion="0" background="1">
    <dbPr connection="Provider=Microsoft.Mashup.OleDb.1;Data Source=$Workbook$;Location=&quot;Table_1101_112_05&quot;;Extended Properties=&quot;&quot;" commandType="0"/>
  </connection>
  <connection id="581" xr16:uid="{152EF25C-05F5-4D02-A530-168552EE0A08}" keepAlive="1" name="連線152" type="5" refreshedVersion="0" background="1">
    <dbPr connection="Provider=Microsoft.Mashup.OleDb.1;Data Source=$Workbook$;Location=&quot;Table_2330_113_02&quot;;Extended Properties=&quot;&quot;" commandType="0"/>
  </connection>
  <connection id="582" xr16:uid="{DA35EEE0-7262-486A-85F7-6467138161DA}" keepAlive="1" name="連線1520" type="5" refreshedVersion="0" background="1">
    <dbPr connection="Provider=Microsoft.Mashup.OleDb.1;Data Source=$Workbook$;Location=&quot;Table_1101_112_04&quot;;Extended Properties=&quot;&quot;" commandType="0"/>
  </connection>
  <connection id="583" xr16:uid="{36B2CB0D-9C7A-4041-8718-0B6F921E759D}" keepAlive="1" name="連線1521" type="5" refreshedVersion="0" background="1">
    <dbPr connection="Provider=Microsoft.Mashup.OleDb.1;Data Source=$Workbook$;Location=&quot;Table_2912_112_06&quot;;Extended Properties=&quot;&quot;" commandType="0"/>
  </connection>
  <connection id="584" xr16:uid="{AAD8FC14-64F4-4B8D-86E3-0249F9C9AA5F}" keepAlive="1" name="連線1522" type="5" refreshedVersion="0" background="1">
    <dbPr connection="Provider=Microsoft.Mashup.OleDb.1;Data Source=$Workbook$;Location=&quot;Table_2912_112_05&quot;;Extended Properties=&quot;&quot;" commandType="0"/>
  </connection>
  <connection id="585" xr16:uid="{A0C12FFF-1A69-4EB2-8D1C-3A30ABF36CC7}" keepAlive="1" name="連線1523" type="5" refreshedVersion="0" background="1">
    <dbPr connection="Provider=Microsoft.Mashup.OleDb.1;Data Source=$Workbook$;Location=&quot;Table_2912_112_04&quot;;Extended Properties=&quot;&quot;" commandType="0"/>
  </connection>
  <connection id="586" xr16:uid="{178E0763-12B4-4867-9E65-9480CB73FD15}" keepAlive="1" name="連線1524" type="5" refreshedVersion="0" background="1">
    <dbPr connection="Provider=Microsoft.Mashup.OleDb.1;Data Source=$Workbook$;Location=&quot;Table_2002_112_06&quot;;Extended Properties=&quot;&quot;" commandType="0"/>
  </connection>
  <connection id="587" xr16:uid="{12F101B0-1370-458C-B3BB-E421583CB0D0}" keepAlive="1" name="連線1525" type="5" refreshedVersion="0" background="1">
    <dbPr connection="Provider=Microsoft.Mashup.OleDb.1;Data Source=$Workbook$;Location=&quot;Table_2002_112_05&quot;;Extended Properties=&quot;&quot;" commandType="0"/>
  </connection>
  <connection id="588" xr16:uid="{B848A87D-F6D7-49E6-9362-8C2263EDB300}" keepAlive="1" name="連線1526" type="5" refreshedVersion="0" background="1">
    <dbPr connection="Provider=Microsoft.Mashup.OleDb.1;Data Source=$Workbook$;Location=&quot;Table_2002_112_04&quot;;Extended Properties=&quot;&quot;" commandType="0"/>
  </connection>
  <connection id="589" xr16:uid="{85119CA9-68A9-446D-AB4A-3320D27DB62C}" keepAlive="1" name="連線1527" type="5" refreshedVersion="0" background="1">
    <dbPr connection="Provider=Microsoft.Mashup.OleDb.1;Data Source=$Workbook$;Location=&quot;Table_2882_112_06&quot;;Extended Properties=&quot;&quot;" commandType="0"/>
  </connection>
  <connection id="590" xr16:uid="{12F7F565-9F1B-4576-A592-5221F3023202}" keepAlive="1" name="連線1528" type="5" refreshedVersion="0" background="1">
    <dbPr connection="Provider=Microsoft.Mashup.OleDb.1;Data Source=$Workbook$;Location=&quot;Table_2882_112_05&quot;;Extended Properties=&quot;&quot;" commandType="0"/>
  </connection>
  <connection id="591" xr16:uid="{8173B127-DF7C-422B-8EB2-A21D5E4B7875}" keepAlive="1" name="連線1529" type="5" refreshedVersion="0" background="1">
    <dbPr connection="Provider=Microsoft.Mashup.OleDb.1;Data Source=$Workbook$;Location=&quot;Table_2882_112_04&quot;;Extended Properties=&quot;&quot;" commandType="0"/>
  </connection>
  <connection id="592" xr16:uid="{FBA0AC13-F481-46C4-BB04-8A798E5B4895}" keepAlive="1" name="連線153" type="5" refreshedVersion="0" background="1">
    <dbPr connection="Provider=Microsoft.Mashup.OleDb.1;Data Source=$Workbook$;Location=&quot;Table_2330_113_03&quot;;Extended Properties=&quot;&quot;" commandType="0"/>
  </connection>
  <connection id="593" xr16:uid="{6F53F656-A60E-493F-87AD-4E15CE986630}" keepAlive="1" name="連線1530" type="5" refreshedVersion="0" background="1">
    <dbPr connection="Provider=Microsoft.Mashup.OleDb.1;Data Source=$Workbook$;Location=&quot;Table_2330_112_06&quot;;Extended Properties=&quot;&quot;" commandType="0"/>
  </connection>
  <connection id="594" xr16:uid="{DCA9AB49-EF4F-430A-B074-723C70DB2323}" keepAlive="1" name="連線1531" type="5" refreshedVersion="0" background="1">
    <dbPr connection="Provider=Microsoft.Mashup.OleDb.1;Data Source=$Workbook$;Location=&quot;Table_2330_112_05&quot;;Extended Properties=&quot;&quot;" commandType="0"/>
  </connection>
  <connection id="595" xr16:uid="{4957B3BD-FCB3-426B-8EA8-F5640E52AD36}" keepAlive="1" name="連線1532" type="5" refreshedVersion="0" background="1">
    <dbPr connection="Provider=Microsoft.Mashup.OleDb.1;Data Source=$Workbook$;Location=&quot;Table_2330_112_04&quot;;Extended Properties=&quot;&quot;" commandType="0"/>
  </connection>
  <connection id="596" xr16:uid="{C3A9A3EC-7A8F-4F6D-AFA0-EE3F442366F3}" keepAlive="1" name="連線1533" type="5" refreshedVersion="0" background="1">
    <dbPr connection="Provider=Microsoft.Mashup.OleDb.1;Data Source=$Workbook$;Location=&quot;Table_1101_112_06&quot;;Extended Properties=&quot;&quot;" commandType="0"/>
  </connection>
  <connection id="597" xr16:uid="{B97D77D8-7B48-4C17-A085-BD5D0FA37851}" keepAlive="1" name="連線1534" type="5" refreshedVersion="0" background="1">
    <dbPr connection="Provider=Microsoft.Mashup.OleDb.1;Data Source=$Workbook$;Location=&quot;Table_1101_112_05&quot;;Extended Properties=&quot;&quot;" commandType="0"/>
  </connection>
  <connection id="598" xr16:uid="{97B7DE01-E083-45D3-A00C-C38CC3F9C020}" keepAlive="1" name="連線1535" type="5" refreshedVersion="0" background="1">
    <dbPr connection="Provider=Microsoft.Mashup.OleDb.1;Data Source=$Workbook$;Location=&quot;Table_1101_112_04&quot;;Extended Properties=&quot;&quot;" commandType="0"/>
  </connection>
  <connection id="599" xr16:uid="{5EC2DDCF-32C0-4ED5-92DE-26FBE16AD8ED}" keepAlive="1" name="連線1536" type="5" refreshedVersion="0" background="1">
    <dbPr connection="Provider=Microsoft.Mashup.OleDb.1;Data Source=$Workbook$;Location=&quot;Table_2912_112_06&quot;;Extended Properties=&quot;&quot;" commandType="0"/>
  </connection>
  <connection id="600" xr16:uid="{D5FA1969-4BAB-46BC-817C-4C84320EDCDF}" keepAlive="1" name="連線1537" type="5" refreshedVersion="0" background="1">
    <dbPr connection="Provider=Microsoft.Mashup.OleDb.1;Data Source=$Workbook$;Location=&quot;Table_2912_112_05&quot;;Extended Properties=&quot;&quot;" commandType="0"/>
  </connection>
  <connection id="601" xr16:uid="{62929876-310E-42D2-A3DA-C76EBA6906C5}" keepAlive="1" name="連線1538" type="5" refreshedVersion="0" background="1">
    <dbPr connection="Provider=Microsoft.Mashup.OleDb.1;Data Source=$Workbook$;Location=&quot;Table_2912_112_04&quot;;Extended Properties=&quot;&quot;" commandType="0"/>
  </connection>
  <connection id="602" xr16:uid="{9B6D18E8-7BD1-4903-8BFC-05E2323C19E6}" keepAlive="1" name="連線1539" type="5" refreshedVersion="0" background="1">
    <dbPr connection="Provider=Microsoft.Mashup.OleDb.1;Data Source=$Workbook$;Location=&quot;Table_2002_112_06&quot;;Extended Properties=&quot;&quot;" commandType="0"/>
  </connection>
  <connection id="603" xr16:uid="{C70C5623-F7AD-4CEB-AA68-C5A85E0F47A3}" keepAlive="1" name="連線154" type="5" refreshedVersion="0" background="1">
    <dbPr connection="Provider=Microsoft.Mashup.OleDb.1;Data Source=$Workbook$;Location=&quot;Table_2002_113_01&quot;;Extended Properties=&quot;&quot;" commandType="0"/>
  </connection>
  <connection id="604" xr16:uid="{79765FBA-61C1-4ABA-9EAC-F84033B22CFF}" keepAlive="1" name="連線1540" type="5" refreshedVersion="0" background="1">
    <dbPr connection="Provider=Microsoft.Mashup.OleDb.1;Data Source=$Workbook$;Location=&quot;Table_2002_112_05&quot;;Extended Properties=&quot;&quot;" commandType="0"/>
  </connection>
  <connection id="605" xr16:uid="{4A256F26-E273-4002-B4E9-00F88C405D3C}" keepAlive="1" name="連線1541" type="5" refreshedVersion="0" background="1">
    <dbPr connection="Provider=Microsoft.Mashup.OleDb.1;Data Source=$Workbook$;Location=&quot;Table_2002_112_04&quot;;Extended Properties=&quot;&quot;" commandType="0"/>
  </connection>
  <connection id="606" xr16:uid="{83110E5B-B95D-4895-B384-35EEEDB5A06D}" keepAlive="1" name="連線1542" type="5" refreshedVersion="0" background="1">
    <dbPr connection="Provider=Microsoft.Mashup.OleDb.1;Data Source=$Workbook$;Location=&quot;Table_2882_112_06&quot;;Extended Properties=&quot;&quot;" commandType="0"/>
  </connection>
  <connection id="607" xr16:uid="{EA3788BD-6BD5-4341-B8AD-F02171882AF0}" keepAlive="1" name="連線1543" type="5" refreshedVersion="0" background="1">
    <dbPr connection="Provider=Microsoft.Mashup.OleDb.1;Data Source=$Workbook$;Location=&quot;Table_2882_112_05&quot;;Extended Properties=&quot;&quot;" commandType="0"/>
  </connection>
  <connection id="608" xr16:uid="{44FEA89A-D1A9-4091-8ED5-DD38AE7A9EB9}" keepAlive="1" name="連線1544" type="5" refreshedVersion="0" background="1">
    <dbPr connection="Provider=Microsoft.Mashup.OleDb.1;Data Source=$Workbook$;Location=&quot;Table_2882_112_04&quot;;Extended Properties=&quot;&quot;" commandType="0"/>
  </connection>
  <connection id="609" xr16:uid="{C8BA7C95-D821-402A-B528-FDBBC9FFA3B8}" keepAlive="1" name="連線1545" type="5" refreshedVersion="0" background="1">
    <dbPr connection="Provider=Microsoft.Mashup.OleDb.1;Data Source=$Workbook$;Location=&quot;Table_00878_112_12&quot;;Extended Properties=&quot;&quot;" commandType="0"/>
  </connection>
  <connection id="610" xr16:uid="{B5CC15F4-79A1-4FBC-BB1A-DB16D77F54B0}" keepAlive="1" name="連線1546" type="5" refreshedVersion="0" background="1">
    <dbPr connection="Provider=Microsoft.Mashup.OleDb.1;Data Source=$Workbook$;Location=&quot;Table_00878_112_10&quot;;Extended Properties=&quot;&quot;" commandType="0"/>
  </connection>
  <connection id="611" xr16:uid="{EA89B257-0936-403A-A912-E5850ABA4BEE}" keepAlive="1" name="連線1547" type="5" refreshedVersion="0" background="1">
    <dbPr connection="Provider=Microsoft.Mashup.OleDb.1;Data Source=$Workbook$;Location=&quot;Table_00878_112_07&quot;;Extended Properties=&quot;&quot;" commandType="0"/>
  </connection>
  <connection id="612" xr16:uid="{AB1F81F9-7516-4C70-838A-4F42771F7297}" keepAlive="1" name="連線1548" type="5" refreshedVersion="0" background="1">
    <dbPr connection="Provider=Microsoft.Mashup.OleDb.1;Data Source=$Workbook$;Location=&quot;Table_1101_112_06&quot;;Extended Properties=&quot;&quot;" commandType="0"/>
  </connection>
  <connection id="613" xr16:uid="{776E51EB-4674-430E-85FE-CB1D5AAF75D1}" keepAlive="1" name="連線1549" type="5" refreshedVersion="0" background="1">
    <dbPr connection="Provider=Microsoft.Mashup.OleDb.1;Data Source=$Workbook$;Location=&quot;Table_1101_112_05&quot;;Extended Properties=&quot;&quot;" commandType="0"/>
  </connection>
  <connection id="614" xr16:uid="{77818751-728A-4E0D-80B8-523638330F61}" keepAlive="1" name="連線155" type="5" refreshedVersion="0" background="1">
    <dbPr connection="Provider=Microsoft.Mashup.OleDb.1;Data Source=$Workbook$;Location=&quot;Table_2002_113_02&quot;;Extended Properties=&quot;&quot;" commandType="0"/>
  </connection>
  <connection id="615" xr16:uid="{FA550CE9-3F48-49E6-BC75-DF66AF0DAA72}" keepAlive="1" name="連線1550" type="5" refreshedVersion="0" background="1">
    <dbPr connection="Provider=Microsoft.Mashup.OleDb.1;Data Source=$Workbook$;Location=&quot;Table_1101_112_04&quot;;Extended Properties=&quot;&quot;" commandType="0"/>
  </connection>
  <connection id="616" xr16:uid="{9462A6F7-30B3-44FB-9D53-6995E357606C}" keepAlive="1" name="連線1551" type="5" refreshedVersion="0" background="1">
    <dbPr connection="Provider=Microsoft.Mashup.OleDb.1;Data Source=$Workbook$;Location=&quot;Table_2912_112_06&quot;;Extended Properties=&quot;&quot;" commandType="0"/>
  </connection>
  <connection id="617" xr16:uid="{3FDB634A-22B1-41D7-B155-6C13D39E82DE}" keepAlive="1" name="連線1552" type="5" refreshedVersion="0" background="1">
    <dbPr connection="Provider=Microsoft.Mashup.OleDb.1;Data Source=$Workbook$;Location=&quot;Table_2912_112_05&quot;;Extended Properties=&quot;&quot;" commandType="0"/>
  </connection>
  <connection id="618" xr16:uid="{F1CA4A36-1552-48C6-9B30-C3C06D8A8B4B}" keepAlive="1" name="連線1553" type="5" refreshedVersion="0" background="1">
    <dbPr connection="Provider=Microsoft.Mashup.OleDb.1;Data Source=$Workbook$;Location=&quot;Table_2912_112_04&quot;;Extended Properties=&quot;&quot;" commandType="0"/>
  </connection>
  <connection id="619" xr16:uid="{2DC46D0F-2292-4AFA-B70A-020B0DF7FC55}" keepAlive="1" name="連線1554" type="5" refreshedVersion="0" background="1">
    <dbPr connection="Provider=Microsoft.Mashup.OleDb.1;Data Source=$Workbook$;Location=&quot;Table_2002_112_06&quot;;Extended Properties=&quot;&quot;" commandType="0"/>
  </connection>
  <connection id="620" xr16:uid="{D0AA5B32-696D-4B98-BEB1-D9699B93F32B}" keepAlive="1" name="連線1555" type="5" refreshedVersion="0" background="1">
    <dbPr connection="Provider=Microsoft.Mashup.OleDb.1;Data Source=$Workbook$;Location=&quot;Table_2002_112_05&quot;;Extended Properties=&quot;&quot;" commandType="0"/>
  </connection>
  <connection id="621" xr16:uid="{C4D07893-9DC6-432C-BE7B-F909A1E7CF4E}" keepAlive="1" name="連線1556" type="5" refreshedVersion="0" background="1">
    <dbPr connection="Provider=Microsoft.Mashup.OleDb.1;Data Source=$Workbook$;Location=&quot;Table_2002_112_04&quot;;Extended Properties=&quot;&quot;" commandType="0"/>
  </connection>
  <connection id="622" xr16:uid="{3F851D6D-5D1A-4C0B-9115-10D7476DE2E8}" keepAlive="1" name="連線1557" type="5" refreshedVersion="0" background="1">
    <dbPr connection="Provider=Microsoft.Mashup.OleDb.1;Data Source=$Workbook$;Location=&quot;Table_2882_112_06&quot;;Extended Properties=&quot;&quot;" commandType="0"/>
  </connection>
  <connection id="623" xr16:uid="{8BEAA468-77A3-4495-A8DD-7FEC1E67BA63}" keepAlive="1" name="連線1558" type="5" refreshedVersion="0" background="1">
    <dbPr connection="Provider=Microsoft.Mashup.OleDb.1;Data Source=$Workbook$;Location=&quot;Table_2882_112_05&quot;;Extended Properties=&quot;&quot;" commandType="0"/>
  </connection>
  <connection id="624" xr16:uid="{374588BD-3D20-46C5-B29A-CD6744BC1488}" keepAlive="1" name="連線1559" type="5" refreshedVersion="0" background="1">
    <dbPr connection="Provider=Microsoft.Mashup.OleDb.1;Data Source=$Workbook$;Location=&quot;Table_2882_112_04&quot;;Extended Properties=&quot;&quot;" commandType="0"/>
  </connection>
  <connection id="625" xr16:uid="{53BAA521-31DE-4489-A578-34399A521942}" keepAlive="1" name="連線156" type="5" refreshedVersion="0" background="1">
    <dbPr connection="Provider=Microsoft.Mashup.OleDb.1;Data Source=$Workbook$;Location=&quot;Table_2002_113_03&quot;;Extended Properties=&quot;&quot;" commandType="0"/>
  </connection>
  <connection id="626" xr16:uid="{A587B62D-192C-4D17-89D0-63893B3D5DDB}" keepAlive="1" name="連線1560" type="5" refreshedVersion="0" background="1">
    <dbPr connection="Provider=Microsoft.Mashup.OleDb.1;Data Source=$Workbook$;Location=&quot;Table_00878_112_12&quot;;Extended Properties=&quot;&quot;" commandType="0"/>
  </connection>
  <connection id="627" xr16:uid="{5EBE054B-979C-42CD-9A2D-710C51E718D1}" keepAlive="1" name="連線1561" type="5" refreshedVersion="0" background="1">
    <dbPr connection="Provider=Microsoft.Mashup.OleDb.1;Data Source=$Workbook$;Location=&quot;Table_00878_112_10&quot;;Extended Properties=&quot;&quot;" commandType="0"/>
  </connection>
  <connection id="628" xr16:uid="{A13F64BE-2721-4E5D-879E-0A679FA795DF}" keepAlive="1" name="連線1562" type="5" refreshedVersion="0" background="1">
    <dbPr connection="Provider=Microsoft.Mashup.OleDb.1;Data Source=$Workbook$;Location=&quot;Table_00878_112_07&quot;;Extended Properties=&quot;&quot;" commandType="0"/>
  </connection>
  <connection id="629" xr16:uid="{ACD050B8-053D-4FC9-9574-E6B9C6A340C0}" keepAlive="1" name="連線1563" type="5" refreshedVersion="0" background="1">
    <dbPr connection="Provider=Microsoft.Mashup.OleDb.1;Data Source=$Workbook$;Location=&quot;Table_1101_112_06&quot;;Extended Properties=&quot;&quot;" commandType="0"/>
  </connection>
  <connection id="630" xr16:uid="{18244600-C5E8-4B61-BCA8-5849F52467C9}" keepAlive="1" name="連線1564" type="5" refreshedVersion="0" background="1">
    <dbPr connection="Provider=Microsoft.Mashup.OleDb.1;Data Source=$Workbook$;Location=&quot;Table_1101_112_05&quot;;Extended Properties=&quot;&quot;" commandType="0"/>
  </connection>
  <connection id="631" xr16:uid="{90421CEA-DCF3-46E9-9A7C-2F1604B7041D}" keepAlive="1" name="連線1565" type="5" refreshedVersion="0" background="1">
    <dbPr connection="Provider=Microsoft.Mashup.OleDb.1;Data Source=$Workbook$;Location=&quot;Table_1101_112_04&quot;;Extended Properties=&quot;&quot;" commandType="0"/>
  </connection>
  <connection id="632" xr16:uid="{8352F8EB-9801-4EF4-B07E-F080D5162986}" keepAlive="1" name="連線1566" type="5" refreshedVersion="0" background="1">
    <dbPr connection="Provider=Microsoft.Mashup.OleDb.1;Data Source=$Workbook$;Location=&quot;Table_2912_112_06&quot;;Extended Properties=&quot;&quot;" commandType="0"/>
  </connection>
  <connection id="633" xr16:uid="{B949733D-0D55-4138-BDB8-9134FDF39ECE}" keepAlive="1" name="連線1567" type="5" refreshedVersion="0" background="1">
    <dbPr connection="Provider=Microsoft.Mashup.OleDb.1;Data Source=$Workbook$;Location=&quot;Table_2912_112_05&quot;;Extended Properties=&quot;&quot;" commandType="0"/>
  </connection>
  <connection id="634" xr16:uid="{A6862981-E5A1-4871-A9CD-DB228DB67A8F}" keepAlive="1" name="連線1568" type="5" refreshedVersion="0" background="1">
    <dbPr connection="Provider=Microsoft.Mashup.OleDb.1;Data Source=$Workbook$;Location=&quot;Table_2912_112_04&quot;;Extended Properties=&quot;&quot;" commandType="0"/>
  </connection>
  <connection id="635" xr16:uid="{298FD07C-8194-46F4-B77E-A09062391613}" keepAlive="1" name="連線1569" type="5" refreshedVersion="0" background="1">
    <dbPr connection="Provider=Microsoft.Mashup.OleDb.1;Data Source=$Workbook$;Location=&quot;Table_2002_112_06&quot;;Extended Properties=&quot;&quot;" commandType="0"/>
  </connection>
  <connection id="636" xr16:uid="{B6D83B32-54D9-4249-8B56-315A810A7203}" keepAlive="1" name="連線157" type="5" refreshedVersion="0" background="1">
    <dbPr connection="Provider=Microsoft.Mashup.OleDb.1;Data Source=$Workbook$;Location=&quot;Table_投資組合比重__&quot;;Extended Properties=&quot;&quot;" commandType="0"/>
  </connection>
  <connection id="637" xr16:uid="{BDFC9C69-A7D4-48D6-AAF8-C8996B60E0F0}" keepAlive="1" name="連線1570" type="5" refreshedVersion="0" background="1">
    <dbPr connection="Provider=Microsoft.Mashup.OleDb.1;Data Source=$Workbook$;Location=&quot;Table_2002_112_05&quot;;Extended Properties=&quot;&quot;" commandType="0"/>
  </connection>
  <connection id="638" xr16:uid="{4566C13A-7660-46BB-88EB-F5A77C571E37}" keepAlive="1" name="連線1571" type="5" refreshedVersion="0" background="1">
    <dbPr connection="Provider=Microsoft.Mashup.OleDb.1;Data Source=$Workbook$;Location=&quot;Table_2002_112_04&quot;;Extended Properties=&quot;&quot;" commandType="0"/>
  </connection>
  <connection id="639" xr16:uid="{55407707-9035-44AF-9DD8-73806CE10D81}" keepAlive="1" name="連線1572" type="5" refreshedVersion="0" background="1">
    <dbPr connection="Provider=Microsoft.Mashup.OleDb.1;Data Source=$Workbook$;Location=&quot;Table_2882_112_06&quot;;Extended Properties=&quot;&quot;" commandType="0"/>
  </connection>
  <connection id="640" xr16:uid="{5E6E6CAB-5BCE-4BEC-941B-2AB34FAE8BFF}" keepAlive="1" name="連線1573" type="5" refreshedVersion="0" background="1">
    <dbPr connection="Provider=Microsoft.Mashup.OleDb.1;Data Source=$Workbook$;Location=&quot;Table_2882_112_05&quot;;Extended Properties=&quot;&quot;" commandType="0"/>
  </connection>
  <connection id="641" xr16:uid="{C0E018FF-267C-466C-AF2A-6CB26BD8E6A0}" keepAlive="1" name="連線1574" type="5" refreshedVersion="0" background="1">
    <dbPr connection="Provider=Microsoft.Mashup.OleDb.1;Data Source=$Workbook$;Location=&quot;Table_2882_112_04&quot;;Extended Properties=&quot;&quot;" commandType="0"/>
  </connection>
  <connection id="642" xr16:uid="{C493FE63-2BD8-416E-8BED-9C3F4A6A1440}" keepAlive="1" name="連線1575" type="5" refreshedVersion="0" background="1">
    <dbPr connection="Provider=Microsoft.Mashup.OleDb.1;Data Source=$Workbook$;Location=&quot;Table_00878_112_12&quot;;Extended Properties=&quot;&quot;" commandType="0"/>
  </connection>
  <connection id="643" xr16:uid="{49045C3D-0F03-43EB-9B2C-CD763A356262}" keepAlive="1" name="連線1576" type="5" refreshedVersion="0" background="1">
    <dbPr connection="Provider=Microsoft.Mashup.OleDb.1;Data Source=$Workbook$;Location=&quot;Table_00878_112_10&quot;;Extended Properties=&quot;&quot;" commandType="0"/>
  </connection>
  <connection id="644" xr16:uid="{558E9FF1-157A-4A7B-A7A6-BC657473DF8C}" keepAlive="1" name="連線1577" type="5" refreshedVersion="0" background="1">
    <dbPr connection="Provider=Microsoft.Mashup.OleDb.1;Data Source=$Workbook$;Location=&quot;Table_00878_112_07&quot;;Extended Properties=&quot;&quot;" commandType="0"/>
  </connection>
  <connection id="645" xr16:uid="{7E2AD5D9-833E-4466-9433-1D3812C0DE01}" keepAlive="1" name="連線1578" type="5" refreshedVersion="0" background="1">
    <dbPr connection="Provider=Microsoft.Mashup.OleDb.1;Data Source=$Workbook$;Location=&quot;Table_1101_112_12&quot;;Extended Properties=&quot;&quot;" commandType="0"/>
  </connection>
  <connection id="646" xr16:uid="{1E2C79A8-73C9-4504-AA72-C2A600F4DD81}" keepAlive="1" name="連線1579" type="5" refreshedVersion="0" background="1">
    <dbPr connection="Provider=Microsoft.Mashup.OleDb.1;Data Source=$Workbook$;Location=&quot;Table_1101_112_10&quot;;Extended Properties=&quot;&quot;" commandType="0"/>
  </connection>
  <connection id="647" xr16:uid="{B9D1C5E3-DACC-4FA2-8BE6-85CD74400505}" keepAlive="1" name="連線158" type="5" refreshedVersion="0" background="1">
    <dbPr connection="Provider=Microsoft.Mashup.OleDb.1;Data Source=$Workbook$;Location=&quot;Table_2330_113_01&quot;;Extended Properties=&quot;&quot;" commandType="0"/>
  </connection>
  <connection id="648" xr16:uid="{654238E0-1EC0-4F77-9251-84185097BF6D}" keepAlive="1" name="連線1580" type="5" refreshedVersion="0" background="1">
    <dbPr connection="Provider=Microsoft.Mashup.OleDb.1;Data Source=$Workbook$;Location=&quot;Table_1101_112_07&quot;;Extended Properties=&quot;&quot;" commandType="0"/>
  </connection>
  <connection id="649" xr16:uid="{80599788-F1A3-4A13-A446-ADAA4E8FA67E}" keepAlive="1" name="連線1581" type="5" refreshedVersion="0" background="1">
    <dbPr connection="Provider=Microsoft.Mashup.OleDb.1;Data Source=$Workbook$;Location=&quot;Table_2912_112_12&quot;;Extended Properties=&quot;&quot;" commandType="0"/>
  </connection>
  <connection id="650" xr16:uid="{C8841A6C-FC2F-483F-8A84-E72C13BB78B4}" keepAlive="1" name="連線1582" type="5" refreshedVersion="0" background="1">
    <dbPr connection="Provider=Microsoft.Mashup.OleDb.1;Data Source=$Workbook$;Location=&quot;Table_2912_112_10&quot;;Extended Properties=&quot;&quot;" commandType="0"/>
  </connection>
  <connection id="651" xr16:uid="{3AA6589E-6656-4D1C-957F-0E705EE22D93}" keepAlive="1" name="連線1583" type="5" refreshedVersion="0" background="1">
    <dbPr connection="Provider=Microsoft.Mashup.OleDb.1;Data Source=$Workbook$;Location=&quot;Table_2912_112_07&quot;;Extended Properties=&quot;&quot;" commandType="0"/>
  </connection>
  <connection id="652" xr16:uid="{FD884146-51B5-4899-AC99-4B60DDA98AF0}" keepAlive="1" name="連線1584" type="5" refreshedVersion="0" background="1">
    <dbPr connection="Provider=Microsoft.Mashup.OleDb.1;Data Source=$Workbook$;Location=&quot;Table_2002_112_12&quot;;Extended Properties=&quot;&quot;" commandType="0"/>
  </connection>
  <connection id="653" xr16:uid="{00A60416-F575-45D8-9BB7-805D3C1AB346}" keepAlive="1" name="連線1585" type="5" refreshedVersion="0" background="1">
    <dbPr connection="Provider=Microsoft.Mashup.OleDb.1;Data Source=$Workbook$;Location=&quot;Table_2002_112_10&quot;;Extended Properties=&quot;&quot;" commandType="0"/>
  </connection>
  <connection id="654" xr16:uid="{A99CC193-2870-45C4-A914-D0CF60267130}" keepAlive="1" name="連線1586" type="5" refreshedVersion="0" background="1">
    <dbPr connection="Provider=Microsoft.Mashup.OleDb.1;Data Source=$Workbook$;Location=&quot;Table_2002_112_07&quot;;Extended Properties=&quot;&quot;" commandType="0"/>
  </connection>
  <connection id="655" xr16:uid="{88D3F299-323A-4620-9657-E7DFC28FE85C}" keepAlive="1" name="連線1587" type="5" refreshedVersion="0" background="1">
    <dbPr connection="Provider=Microsoft.Mashup.OleDb.1;Data Source=$Workbook$;Location=&quot;Table_2882_112_12&quot;;Extended Properties=&quot;&quot;" commandType="0"/>
  </connection>
  <connection id="656" xr16:uid="{F22B61C3-0CB8-4AE6-9018-391664942CFA}" keepAlive="1" name="連線1588" type="5" refreshedVersion="0" background="1">
    <dbPr connection="Provider=Microsoft.Mashup.OleDb.1;Data Source=$Workbook$;Location=&quot;Table_2882_112_10&quot;;Extended Properties=&quot;&quot;" commandType="0"/>
  </connection>
  <connection id="657" xr16:uid="{F416B9B8-FF91-4128-AA57-C79EF36405F9}" keepAlive="1" name="連線1589" type="5" refreshedVersion="0" background="1">
    <dbPr connection="Provider=Microsoft.Mashup.OleDb.1;Data Source=$Workbook$;Location=&quot;Table_2882_112_07&quot;;Extended Properties=&quot;&quot;" commandType="0"/>
  </connection>
  <connection id="658" xr16:uid="{1345CD67-A64E-44FF-B094-928E0BC865E4}" keepAlive="1" name="連線159" type="5" refreshedVersion="0" background="1">
    <dbPr connection="Provider=Microsoft.Mashup.OleDb.1;Data Source=$Workbook$;Location=&quot;Table_2330_113_02&quot;;Extended Properties=&quot;&quot;" commandType="0"/>
  </connection>
  <connection id="659" xr16:uid="{693D8377-CCA0-4B11-BA38-224E0C468D7F}" keepAlive="1" name="連線1590" type="5" refreshedVersion="0" background="1">
    <dbPr connection="Provider=Microsoft.Mashup.OleDb.1;Data Source=$Workbook$;Location=&quot;Table_1259_112_12&quot;;Extended Properties=&quot;&quot;" commandType="0"/>
  </connection>
  <connection id="660" xr16:uid="{CB67BE9E-CD72-4DFF-8742-E2D903D23EA9}" keepAlive="1" name="連線1591" type="5" refreshedVersion="0" background="1">
    <dbPr connection="Provider=Microsoft.Mashup.OleDb.1;Data Source=$Workbook$;Location=&quot;Table_1259_112_10&quot;;Extended Properties=&quot;&quot;" commandType="0"/>
  </connection>
  <connection id="661" xr16:uid="{C69E08D1-F292-4F46-BAE9-1140D3F65FFE}" keepAlive="1" name="連線1592" type="5" refreshedVersion="0" background="1">
    <dbPr connection="Provider=Microsoft.Mashup.OleDb.1;Data Source=$Workbook$;Location=&quot;Table_1259_112_07&quot;;Extended Properties=&quot;&quot;" commandType="0"/>
  </connection>
  <connection id="662" xr16:uid="{784D4437-6D1A-450A-8099-5CCFA2866987}" keepAlive="1" name="連線1593" type="5" refreshedVersion="0" background="1">
    <dbPr connection="Provider=Microsoft.Mashup.OleDb.1;Data Source=$Workbook$;Location=&quot;Table_1101_112_12&quot;;Extended Properties=&quot;&quot;" commandType="0"/>
  </connection>
  <connection id="663" xr16:uid="{775D61E2-1BCA-42D0-9879-85F280C566A7}" keepAlive="1" name="連線1594" type="5" refreshedVersion="0" background="1">
    <dbPr connection="Provider=Microsoft.Mashup.OleDb.1;Data Source=$Workbook$;Location=&quot;Table_1101_112_10&quot;;Extended Properties=&quot;&quot;" commandType="0"/>
  </connection>
  <connection id="664" xr16:uid="{ED6354F1-1E44-4841-A3E9-4094DA2A1725}" keepAlive="1" name="連線1595" type="5" refreshedVersion="0" background="1">
    <dbPr connection="Provider=Microsoft.Mashup.OleDb.1;Data Source=$Workbook$;Location=&quot;Table_1101_112_07&quot;;Extended Properties=&quot;&quot;" commandType="0"/>
  </connection>
  <connection id="665" xr16:uid="{CEFEAC70-40C7-4EF8-B11A-8540671ADD4B}" keepAlive="1" name="連線1596" type="5" refreshedVersion="0" background="1">
    <dbPr connection="Provider=Microsoft.Mashup.OleDb.1;Data Source=$Workbook$;Location=&quot;Table_2912_112_12&quot;;Extended Properties=&quot;&quot;" commandType="0"/>
  </connection>
  <connection id="666" xr16:uid="{A97EC805-406A-4C4A-83E8-C9EC113EE527}" keepAlive="1" name="連線1597" type="5" refreshedVersion="0" background="1">
    <dbPr connection="Provider=Microsoft.Mashup.OleDb.1;Data Source=$Workbook$;Location=&quot;Table_2912_112_10&quot;;Extended Properties=&quot;&quot;" commandType="0"/>
  </connection>
  <connection id="667" xr16:uid="{EA2AF542-76E0-4ACC-90C9-5059AE0DA3FC}" keepAlive="1" name="連線1598" type="5" refreshedVersion="0" background="1">
    <dbPr connection="Provider=Microsoft.Mashup.OleDb.1;Data Source=$Workbook$;Location=&quot;Table_2912_112_07&quot;;Extended Properties=&quot;&quot;" commandType="0"/>
  </connection>
  <connection id="668" xr16:uid="{1CA0A756-AC2F-4C38-BF40-5B990D775897}" keepAlive="1" name="連線1599" type="5" refreshedVersion="0" background="1">
    <dbPr connection="Provider=Microsoft.Mashup.OleDb.1;Data Source=$Workbook$;Location=&quot;Table_2002_112_12&quot;;Extended Properties=&quot;&quot;" commandType="0"/>
  </connection>
  <connection id="669" xr16:uid="{9A3F020C-588F-403D-B898-78011C4D5612}" keepAlive="1" name="連線16" type="5" refreshedVersion="0" background="1">
    <dbPr connection="Provider=Microsoft.Mashup.OleDb.1;Data Source=$Workbook$;Location=&quot;Table 4&quot;;Extended Properties=&quot;&quot;" commandType="0"/>
  </connection>
  <connection id="670" xr16:uid="{C72DDE66-197D-48C1-84D2-EC97130CF94B}" keepAlive="1" name="連線160" type="5" refreshedVersion="0" background="1">
    <dbPr connection="Provider=Microsoft.Mashup.OleDb.1;Data Source=$Workbook$;Location=&quot;Table_2330_113_03&quot;;Extended Properties=&quot;&quot;" commandType="0"/>
  </connection>
  <connection id="671" xr16:uid="{1CAE095A-147E-494C-99C1-C8903A2B60C4}" keepAlive="1" name="連線1600" type="5" refreshedVersion="0" background="1">
    <dbPr connection="Provider=Microsoft.Mashup.OleDb.1;Data Source=$Workbook$;Location=&quot;Table_2002_112_10&quot;;Extended Properties=&quot;&quot;" commandType="0"/>
  </connection>
  <connection id="672" xr16:uid="{8B4FCB83-3D13-4106-A563-E83D8EC44DDA}" keepAlive="1" name="連線1601" type="5" refreshedVersion="0" background="1">
    <dbPr connection="Provider=Microsoft.Mashup.OleDb.1;Data Source=$Workbook$;Location=&quot;Table_2002_112_07&quot;;Extended Properties=&quot;&quot;" commandType="0"/>
  </connection>
  <connection id="673" xr16:uid="{1869C7B1-333C-43C9-A3B4-1A53214E05C5}" keepAlive="1" name="連線1602" type="5" refreshedVersion="0" background="1">
    <dbPr connection="Provider=Microsoft.Mashup.OleDb.1;Data Source=$Workbook$;Location=&quot;Table_2882_112_12&quot;;Extended Properties=&quot;&quot;" commandType="0"/>
  </connection>
  <connection id="674" xr16:uid="{B4D3B4D9-9174-43B5-93A6-90F6A7486034}" keepAlive="1" name="連線1603" type="5" refreshedVersion="0" background="1">
    <dbPr connection="Provider=Microsoft.Mashup.OleDb.1;Data Source=$Workbook$;Location=&quot;Table_2882_112_10&quot;;Extended Properties=&quot;&quot;" commandType="0"/>
  </connection>
  <connection id="675" xr16:uid="{4E9C1D9A-9D96-4E89-AD83-BB8282AA1D66}" keepAlive="1" name="連線1604" type="5" refreshedVersion="0" background="1">
    <dbPr connection="Provider=Microsoft.Mashup.OleDb.1;Data Source=$Workbook$;Location=&quot;Table_2882_112_07&quot;;Extended Properties=&quot;&quot;" commandType="0"/>
  </connection>
  <connection id="676" xr16:uid="{4F78561F-982C-4BD4-82D0-20A72F56D951}" keepAlive="1" name="連線1605" type="5" refreshedVersion="0" background="1">
    <dbPr connection="Provider=Microsoft.Mashup.OleDb.1;Data Source=$Workbook$;Location=&quot;Table_00878_112_12&quot;;Extended Properties=&quot;&quot;" commandType="0"/>
  </connection>
  <connection id="677" xr16:uid="{3E561FFB-A36E-4E49-AC45-D92FED41B27B}" keepAlive="1" name="連線1606" type="5" refreshedVersion="0" background="1">
    <dbPr connection="Provider=Microsoft.Mashup.OleDb.1;Data Source=$Workbook$;Location=&quot;Table_00878_112_10&quot;;Extended Properties=&quot;&quot;" commandType="0"/>
  </connection>
  <connection id="678" xr16:uid="{8F06385E-7080-4486-A980-D6E054A0E0E4}" keepAlive="1" name="連線1607" type="5" refreshedVersion="0" background="1">
    <dbPr connection="Provider=Microsoft.Mashup.OleDb.1;Data Source=$Workbook$;Location=&quot;Table_00878_112_07&quot;;Extended Properties=&quot;&quot;" commandType="0"/>
  </connection>
  <connection id="679" xr16:uid="{83537B3B-5EFB-4EF4-BCA7-BB773D8D34C2}" keepAlive="1" name="連線1608" type="5" refreshedVersion="0" background="1">
    <dbPr connection="Provider=Microsoft.Mashup.OleDb.1;Data Source=$Workbook$;Location=&quot;Table_1101_112_12&quot;;Extended Properties=&quot;&quot;" commandType="0"/>
  </connection>
  <connection id="680" xr16:uid="{069B6A50-4D87-49B3-9AC0-56717F1FFED6}" keepAlive="1" name="連線1609" type="5" refreshedVersion="0" background="1">
    <dbPr connection="Provider=Microsoft.Mashup.OleDb.1;Data Source=$Workbook$;Location=&quot;Table_1101_112_10&quot;;Extended Properties=&quot;&quot;" commandType="0"/>
  </connection>
  <connection id="681" xr16:uid="{7558E649-1283-4918-8371-C682C1B6C0C2}" keepAlive="1" name="連線161" type="5" refreshedVersion="0" background="1">
    <dbPr connection="Provider=Microsoft.Mashup.OleDb.1;Data Source=$Workbook$;Location=&quot;Table_2330_113_01&quot;;Extended Properties=&quot;&quot;" commandType="0"/>
  </connection>
  <connection id="682" xr16:uid="{7D5A9279-1964-4462-84E8-772734D33022}" keepAlive="1" name="連線1610" type="5" refreshedVersion="0" background="1">
    <dbPr connection="Provider=Microsoft.Mashup.OleDb.1;Data Source=$Workbook$;Location=&quot;Table_1101_112_07&quot;;Extended Properties=&quot;&quot;" commandType="0"/>
  </connection>
  <connection id="683" xr16:uid="{820DB482-D0A7-4466-82CA-534D68FD2703}" keepAlive="1" name="連線1611" type="5" refreshedVersion="0" background="1">
    <dbPr connection="Provider=Microsoft.Mashup.OleDb.1;Data Source=$Workbook$;Location=&quot;Table_2912_112_12&quot;;Extended Properties=&quot;&quot;" commandType="0"/>
  </connection>
  <connection id="684" xr16:uid="{29D33024-340B-4F8E-9E22-A123BC34F636}" keepAlive="1" name="連線1612" type="5" refreshedVersion="0" background="1">
    <dbPr connection="Provider=Microsoft.Mashup.OleDb.1;Data Source=$Workbook$;Location=&quot;Table_2912_112_10&quot;;Extended Properties=&quot;&quot;" commandType="0"/>
  </connection>
  <connection id="685" xr16:uid="{C32A37A0-158F-4FFA-B0C4-BF9E21119B96}" keepAlive="1" name="連線1613" type="5" refreshedVersion="0" background="1">
    <dbPr connection="Provider=Microsoft.Mashup.OleDb.1;Data Source=$Workbook$;Location=&quot;Table_2912_112_07&quot;;Extended Properties=&quot;&quot;" commandType="0"/>
  </connection>
  <connection id="686" xr16:uid="{4DFC19F5-4437-4B09-86D1-0190B6C3B918}" keepAlive="1" name="連線1614" type="5" refreshedVersion="0" background="1">
    <dbPr connection="Provider=Microsoft.Mashup.OleDb.1;Data Source=$Workbook$;Location=&quot;Table_2002_112_12&quot;;Extended Properties=&quot;&quot;" commandType="0"/>
  </connection>
  <connection id="687" xr16:uid="{BCCE8543-1DD9-4D90-8000-65007AB6B468}" keepAlive="1" name="連線1615" type="5" refreshedVersion="0" background="1">
    <dbPr connection="Provider=Microsoft.Mashup.OleDb.1;Data Source=$Workbook$;Location=&quot;Table_2002_112_10&quot;;Extended Properties=&quot;&quot;" commandType="0"/>
  </connection>
  <connection id="688" xr16:uid="{923D2866-1477-4EA2-878B-B350DD52DE12}" keepAlive="1" name="連線1616" type="5" refreshedVersion="0" background="1">
    <dbPr connection="Provider=Microsoft.Mashup.OleDb.1;Data Source=$Workbook$;Location=&quot;Table_2002_112_07&quot;;Extended Properties=&quot;&quot;" commandType="0"/>
  </connection>
  <connection id="689" xr16:uid="{60F3DCF2-3F86-40CE-A39F-FD5CFE0FE4AC}" keepAlive="1" name="連線1617" type="5" refreshedVersion="0" background="1">
    <dbPr connection="Provider=Microsoft.Mashup.OleDb.1;Data Source=$Workbook$;Location=&quot;Table_2882_112_12&quot;;Extended Properties=&quot;&quot;" commandType="0"/>
  </connection>
  <connection id="690" xr16:uid="{26808D69-C411-4DA7-B983-0060468C7B67}" keepAlive="1" name="連線1618" type="5" refreshedVersion="0" background="1">
    <dbPr connection="Provider=Microsoft.Mashup.OleDb.1;Data Source=$Workbook$;Location=&quot;Table_2882_112_10&quot;;Extended Properties=&quot;&quot;" commandType="0"/>
  </connection>
  <connection id="691" xr16:uid="{52AAB825-99FB-4561-AAEF-94D6D5C103A1}" keepAlive="1" name="連線1619" type="5" refreshedVersion="0" background="1">
    <dbPr connection="Provider=Microsoft.Mashup.OleDb.1;Data Source=$Workbook$;Location=&quot;Table_2882_112_07&quot;;Extended Properties=&quot;&quot;" commandType="0"/>
  </connection>
  <connection id="692" xr16:uid="{41AE6B66-33D7-4AF8-8C42-B31455A067D6}" keepAlive="1" name="連線162" type="5" refreshedVersion="0" background="1">
    <dbPr connection="Provider=Microsoft.Mashup.OleDb.1;Data Source=$Workbook$;Location=&quot;Table_2330_113_02&quot;;Extended Properties=&quot;&quot;" commandType="0"/>
  </connection>
  <connection id="693" xr16:uid="{4F1D35F2-E327-4963-890F-24CE713B6F35}" keepAlive="1" name="連線1620" type="5" refreshedVersion="0" background="1">
    <dbPr connection="Provider=Microsoft.Mashup.OleDb.1;Data Source=$Workbook$;Location=&quot;Table_00878_112_12&quot;;Extended Properties=&quot;&quot;" commandType="0"/>
  </connection>
  <connection id="694" xr16:uid="{98CBA018-FB4C-4B76-ADB6-DA577EDF1EDA}" keepAlive="1" name="連線1621" type="5" refreshedVersion="0" background="1">
    <dbPr connection="Provider=Microsoft.Mashup.OleDb.1;Data Source=$Workbook$;Location=&quot;Table_00878_112_10&quot;;Extended Properties=&quot;&quot;" commandType="0"/>
  </connection>
  <connection id="695" xr16:uid="{98D63201-7943-4EB6-BF70-EA5B34397C3D}" keepAlive="1" name="連線1622" type="5" refreshedVersion="0" background="1">
    <dbPr connection="Provider=Microsoft.Mashup.OleDb.1;Data Source=$Workbook$;Location=&quot;Table_00878_112_07&quot;;Extended Properties=&quot;&quot;" commandType="0"/>
  </connection>
  <connection id="696" xr16:uid="{5BBF6446-1738-4DC0-A2E4-CDCCED070233}" keepAlive="1" name="連線1623" type="5" refreshedVersion="0" background="1">
    <dbPr connection="Provider=Microsoft.Mashup.OleDb.1;Data Source=$Workbook$;Location=&quot;Table_1101_112_12&quot;;Extended Properties=&quot;&quot;" commandType="0"/>
  </connection>
  <connection id="697" xr16:uid="{87EF1260-4889-4BA1-A500-496F1FA8F7D7}" keepAlive="1" name="連線1624" type="5" refreshedVersion="0" background="1">
    <dbPr connection="Provider=Microsoft.Mashup.OleDb.1;Data Source=$Workbook$;Location=&quot;Table_1101_112_10&quot;;Extended Properties=&quot;&quot;" commandType="0"/>
  </connection>
  <connection id="698" xr16:uid="{94873443-1ACE-45E1-8144-C9DC455CC1DF}" keepAlive="1" name="連線1625" type="5" refreshedVersion="0" background="1">
    <dbPr connection="Provider=Microsoft.Mashup.OleDb.1;Data Source=$Workbook$;Location=&quot;Table_1101_112_07&quot;;Extended Properties=&quot;&quot;" commandType="0"/>
  </connection>
  <connection id="699" xr16:uid="{17E0CC0B-1768-486F-9DA3-CE9AD0C82687}" keepAlive="1" name="連線1626" type="5" refreshedVersion="0" background="1">
    <dbPr connection="Provider=Microsoft.Mashup.OleDb.1;Data Source=$Workbook$;Location=&quot;Table_2912_112_12&quot;;Extended Properties=&quot;&quot;" commandType="0"/>
  </connection>
  <connection id="700" xr16:uid="{EC8FF7FF-0298-4B8E-BD37-D2B842F4608C}" keepAlive="1" name="連線1627" type="5" refreshedVersion="0" background="1">
    <dbPr connection="Provider=Microsoft.Mashup.OleDb.1;Data Source=$Workbook$;Location=&quot;Table_2912_112_10&quot;;Extended Properties=&quot;&quot;" commandType="0"/>
  </connection>
  <connection id="701" xr16:uid="{92696660-B535-4586-9A4C-CE6A7B900DC8}" keepAlive="1" name="連線1628" type="5" refreshedVersion="0" background="1">
    <dbPr connection="Provider=Microsoft.Mashup.OleDb.1;Data Source=$Workbook$;Location=&quot;Table_2912_112_07&quot;;Extended Properties=&quot;&quot;" commandType="0"/>
  </connection>
  <connection id="702" xr16:uid="{DCA54576-9EEC-4C62-943C-1D24856DDC2B}" keepAlive="1" name="連線1629" type="5" refreshedVersion="0" background="1">
    <dbPr connection="Provider=Microsoft.Mashup.OleDb.1;Data Source=$Workbook$;Location=&quot;Table_2002_112_12&quot;;Extended Properties=&quot;&quot;" commandType="0"/>
  </connection>
  <connection id="703" xr16:uid="{0C155B7F-8300-42DA-A1AD-37F6C3C05DCC}" keepAlive="1" name="連線163" type="5" refreshedVersion="0" background="1">
    <dbPr connection="Provider=Microsoft.Mashup.OleDb.1;Data Source=$Workbook$;Location=&quot;Table_2330_113_03&quot;;Extended Properties=&quot;&quot;" commandType="0"/>
  </connection>
  <connection id="704" xr16:uid="{9BDD0B1E-E92C-44FC-B679-8ECAAAA39CE2}" keepAlive="1" name="連線1630" type="5" refreshedVersion="0" background="1">
    <dbPr connection="Provider=Microsoft.Mashup.OleDb.1;Data Source=$Workbook$;Location=&quot;Table_2002_112_10&quot;;Extended Properties=&quot;&quot;" commandType="0"/>
  </connection>
  <connection id="705" xr16:uid="{422AF6CF-566D-4CAB-BFBD-B0A850D78085}" keepAlive="1" name="連線1631" type="5" refreshedVersion="0" background="1">
    <dbPr connection="Provider=Microsoft.Mashup.OleDb.1;Data Source=$Workbook$;Location=&quot;Table_2002_112_07&quot;;Extended Properties=&quot;&quot;" commandType="0"/>
  </connection>
  <connection id="706" xr16:uid="{732B776B-B0BA-453A-B079-754292494B5B}" keepAlive="1" name="連線1632" type="5" refreshedVersion="0" background="1">
    <dbPr connection="Provider=Microsoft.Mashup.OleDb.1;Data Source=$Workbook$;Location=&quot;Table_2882_112_12&quot;;Extended Properties=&quot;&quot;" commandType="0"/>
  </connection>
  <connection id="707" xr16:uid="{3947F0B7-8C81-4D7F-86E0-90AA6E4DCDCF}" keepAlive="1" name="連線1633" type="5" refreshedVersion="0" background="1">
    <dbPr connection="Provider=Microsoft.Mashup.OleDb.1;Data Source=$Workbook$;Location=&quot;Table_2882_112_10&quot;;Extended Properties=&quot;&quot;" commandType="0"/>
  </connection>
  <connection id="708" xr16:uid="{279CB289-9A26-4641-88DA-F6968FEE2A9B}" keepAlive="1" name="連線1634" type="5" refreshedVersion="0" background="1">
    <dbPr connection="Provider=Microsoft.Mashup.OleDb.1;Data Source=$Workbook$;Location=&quot;Table_2882_112_07&quot;;Extended Properties=&quot;&quot;" commandType="0"/>
  </connection>
  <connection id="709" xr16:uid="{A9A03974-5EAA-4FE0-8FC2-69CFB20F4510}" keepAlive="1" name="連線1635" type="5" refreshedVersion="0" background="1">
    <dbPr connection="Provider=Microsoft.Mashup.OleDb.1;Data Source=$Workbook$;Location=&quot;Table_00878_112_12&quot;;Extended Properties=&quot;&quot;" commandType="0"/>
  </connection>
  <connection id="710" xr16:uid="{63C6E213-588B-40C8-A39E-623A94EC0D21}" keepAlive="1" name="連線1636" type="5" refreshedVersion="0" background="1">
    <dbPr connection="Provider=Microsoft.Mashup.OleDb.1;Data Source=$Workbook$;Location=&quot;Table_00878_112_10&quot;;Extended Properties=&quot;&quot;" commandType="0"/>
  </connection>
  <connection id="711" xr16:uid="{56D947CF-29D8-4158-8D42-BA6B323B177C}" keepAlive="1" name="連線1637" type="5" refreshedVersion="0" background="1">
    <dbPr connection="Provider=Microsoft.Mashup.OleDb.1;Data Source=$Workbook$;Location=&quot;Table_00878_112_07&quot;;Extended Properties=&quot;&quot;" commandType="0"/>
  </connection>
  <connection id="712" xr16:uid="{BABC13DF-2554-4CFE-A6A8-17E2E86055C4}" keepAlive="1" name="連線1638" type="5" refreshedVersion="0" background="1">
    <dbPr connection="Provider=Microsoft.Mashup.OleDb.1;Data Source=$Workbook$;Location=&quot;Table_1101_112_12&quot;;Extended Properties=&quot;&quot;" commandType="0"/>
  </connection>
  <connection id="713" xr16:uid="{DAD89356-7AC1-4462-B471-F0D9F973396A}" keepAlive="1" name="連線1639" type="5" refreshedVersion="0" background="1">
    <dbPr connection="Provider=Microsoft.Mashup.OleDb.1;Data Source=$Workbook$;Location=&quot;Table_1101_112_10&quot;;Extended Properties=&quot;&quot;" commandType="0"/>
  </connection>
  <connection id="714" xr16:uid="{9E5492C3-73EC-4F61-8880-9D88380B815C}" keepAlive="1" name="連線164" type="5" refreshedVersion="0" background="1">
    <dbPr connection="Provider=Microsoft.Mashup.OleDb.1;Data Source=$Workbook$;Location=&quot;Table_2330_113_01&quot;;Extended Properties=&quot;&quot;" commandType="0"/>
  </connection>
  <connection id="715" xr16:uid="{D50A0356-9D3A-48AA-9744-A39FFAB93592}" keepAlive="1" name="連線1640" type="5" refreshedVersion="0" background="1">
    <dbPr connection="Provider=Microsoft.Mashup.OleDb.1;Data Source=$Workbook$;Location=&quot;Table_1101_112_07&quot;;Extended Properties=&quot;&quot;" commandType="0"/>
  </connection>
  <connection id="716" xr16:uid="{5D1B9329-D41B-4B5D-B4F2-4ADF02BD2FFC}" keepAlive="1" name="連線1641" type="5" refreshedVersion="0" background="1">
    <dbPr connection="Provider=Microsoft.Mashup.OleDb.1;Data Source=$Workbook$;Location=&quot;Table_2912_112_12&quot;;Extended Properties=&quot;&quot;" commandType="0"/>
  </connection>
  <connection id="717" xr16:uid="{1133CA83-BA09-47B3-A427-870925C50BD3}" keepAlive="1" name="連線1642" type="5" refreshedVersion="0" background="1">
    <dbPr connection="Provider=Microsoft.Mashup.OleDb.1;Data Source=$Workbook$;Location=&quot;Table_2912_112_10&quot;;Extended Properties=&quot;&quot;" commandType="0"/>
  </connection>
  <connection id="718" xr16:uid="{A3CB386B-94B2-4BCD-8D60-F35928B4D2F5}" keepAlive="1" name="連線1643" type="5" refreshedVersion="0" background="1">
    <dbPr connection="Provider=Microsoft.Mashup.OleDb.1;Data Source=$Workbook$;Location=&quot;Table_2912_112_07&quot;;Extended Properties=&quot;&quot;" commandType="0"/>
  </connection>
  <connection id="719" xr16:uid="{3FF5EB3D-D20C-47C0-9A1D-18FF043FBAC3}" keepAlive="1" name="連線1644" type="5" refreshedVersion="0" background="1">
    <dbPr connection="Provider=Microsoft.Mashup.OleDb.1;Data Source=$Workbook$;Location=&quot;Table_2002_112_12&quot;;Extended Properties=&quot;&quot;" commandType="0"/>
  </connection>
  <connection id="720" xr16:uid="{B0D83224-90AE-4792-AAD9-D760CA39B9BF}" keepAlive="1" name="連線1645" type="5" refreshedVersion="0" background="1">
    <dbPr connection="Provider=Microsoft.Mashup.OleDb.1;Data Source=$Workbook$;Location=&quot;Table_2002_112_10&quot;;Extended Properties=&quot;&quot;" commandType="0"/>
  </connection>
  <connection id="721" xr16:uid="{9DCFF14B-9020-4BF3-840C-D346883A73BF}" keepAlive="1" name="連線1646" type="5" refreshedVersion="0" background="1">
    <dbPr connection="Provider=Microsoft.Mashup.OleDb.1;Data Source=$Workbook$;Location=&quot;Table_2002_112_07&quot;;Extended Properties=&quot;&quot;" commandType="0"/>
  </connection>
  <connection id="722" xr16:uid="{82D4CD65-FA8A-4F32-8AB3-DF8A950DB0F2}" keepAlive="1" name="連線1647" type="5" refreshedVersion="0" background="1">
    <dbPr connection="Provider=Microsoft.Mashup.OleDb.1;Data Source=$Workbook$;Location=&quot;Table_2882_112_12&quot;;Extended Properties=&quot;&quot;" commandType="0"/>
  </connection>
  <connection id="723" xr16:uid="{6507C6D0-134C-4E31-AF13-CAF761795EAC}" keepAlive="1" name="連線1648" type="5" refreshedVersion="0" background="1">
    <dbPr connection="Provider=Microsoft.Mashup.OleDb.1;Data Source=$Workbook$;Location=&quot;Table_2882_112_10&quot;;Extended Properties=&quot;&quot;" commandType="0"/>
  </connection>
  <connection id="724" xr16:uid="{C9235454-3E6D-4D00-8AF4-BB245317E927}" keepAlive="1" name="連線1649" type="5" refreshedVersion="0" background="1">
    <dbPr connection="Provider=Microsoft.Mashup.OleDb.1;Data Source=$Workbook$;Location=&quot;Table_2882_112_07&quot;;Extended Properties=&quot;&quot;" commandType="0"/>
  </connection>
  <connection id="725" xr16:uid="{DB14F085-F968-44FA-A861-121CC9C97FA1}" keepAlive="1" name="連線165" type="5" refreshedVersion="0" background="1">
    <dbPr connection="Provider=Microsoft.Mashup.OleDb.1;Data Source=$Workbook$;Location=&quot;Table_2330_113_02&quot;;Extended Properties=&quot;&quot;" commandType="0"/>
  </connection>
  <connection id="726" xr16:uid="{6118FA32-EDF7-4454-959E-BCD7EFC63584}" keepAlive="1" name="連線1650" type="5" refreshedVersion="0" background="1">
    <dbPr connection="Provider=Microsoft.Mashup.OleDb.1;Data Source=$Workbook$;Location=&quot;Table_00878_112_12&quot;;Extended Properties=&quot;&quot;" commandType="0"/>
  </connection>
  <connection id="727" xr16:uid="{16F0F505-2FE0-4BA6-9EAB-293BA51D0A2B}" keepAlive="1" name="連線1651" type="5" refreshedVersion="0" background="1">
    <dbPr connection="Provider=Microsoft.Mashup.OleDb.1;Data Source=$Workbook$;Location=&quot;Table_00878_112_10&quot;;Extended Properties=&quot;&quot;" commandType="0"/>
  </connection>
  <connection id="728" xr16:uid="{AA2100C3-B610-41E1-8719-D6752A2EA74A}" keepAlive="1" name="連線1652" type="5" refreshedVersion="0" background="1">
    <dbPr connection="Provider=Microsoft.Mashup.OleDb.1;Data Source=$Workbook$;Location=&quot;Table_00878_112_07&quot;;Extended Properties=&quot;&quot;" commandType="0"/>
  </connection>
  <connection id="729" xr16:uid="{5806AE2F-39E5-46AE-90D5-38BCF20734F0}" keepAlive="1" name="連線1653" type="5" refreshedVersion="0" background="1">
    <dbPr connection="Provider=Microsoft.Mashup.OleDb.1;Data Source=$Workbook$;Location=&quot;Table_1101_112_12&quot;;Extended Properties=&quot;&quot;" commandType="0"/>
  </connection>
  <connection id="730" xr16:uid="{582E86B6-0177-4B46-92FB-57A586EB95D9}" keepAlive="1" name="連線1654" type="5" refreshedVersion="0" background="1">
    <dbPr connection="Provider=Microsoft.Mashup.OleDb.1;Data Source=$Workbook$;Location=&quot;Table_1101_112_10&quot;;Extended Properties=&quot;&quot;" commandType="0"/>
  </connection>
  <connection id="731" xr16:uid="{066A8678-2A8E-4F2F-913A-A45D584C1725}" keepAlive="1" name="連線1655" type="5" refreshedVersion="0" background="1">
    <dbPr connection="Provider=Microsoft.Mashup.OleDb.1;Data Source=$Workbook$;Location=&quot;Table_1101_112_07&quot;;Extended Properties=&quot;&quot;" commandType="0"/>
  </connection>
  <connection id="732" xr16:uid="{8D700CD9-8076-4D95-AFDC-6FD8F66E078E}" keepAlive="1" name="連線1656" type="5" refreshedVersion="0" background="1">
    <dbPr connection="Provider=Microsoft.Mashup.OleDb.1;Data Source=$Workbook$;Location=&quot;Table_2912_112_12&quot;;Extended Properties=&quot;&quot;" commandType="0"/>
  </connection>
  <connection id="733" xr16:uid="{7E13AF21-82E1-4286-816C-36AE6C1816B5}" keepAlive="1" name="連線1657" type="5" refreshedVersion="0" background="1">
    <dbPr connection="Provider=Microsoft.Mashup.OleDb.1;Data Source=$Workbook$;Location=&quot;Table_2912_112_10&quot;;Extended Properties=&quot;&quot;" commandType="0"/>
  </connection>
  <connection id="734" xr16:uid="{A238FA63-22BB-43CB-A99C-E73FFBBAAD4D}" keepAlive="1" name="連線1658" type="5" refreshedVersion="0" background="1">
    <dbPr connection="Provider=Microsoft.Mashup.OleDb.1;Data Source=$Workbook$;Location=&quot;Table_2912_112_07&quot;;Extended Properties=&quot;&quot;" commandType="0"/>
  </connection>
  <connection id="735" xr16:uid="{354C3C85-9C42-4DD1-8F88-148A4A6110E9}" keepAlive="1" name="連線1659" type="5" refreshedVersion="0" background="1">
    <dbPr connection="Provider=Microsoft.Mashup.OleDb.1;Data Source=$Workbook$;Location=&quot;Table_2002_112_12&quot;;Extended Properties=&quot;&quot;" commandType="0"/>
  </connection>
  <connection id="736" xr16:uid="{C94CE438-9868-4E9C-BA7F-C19A2A4614A3}" keepAlive="1" name="連線166" type="5" refreshedVersion="0" background="1">
    <dbPr connection="Provider=Microsoft.Mashup.OleDb.1;Data Source=$Workbook$;Location=&quot;Table_2330_113_03&quot;;Extended Properties=&quot;&quot;" commandType="0"/>
  </connection>
  <connection id="737" xr16:uid="{AAACD3EA-3CC7-4F47-A03F-82A47A43F610}" keepAlive="1" name="連線1660" type="5" refreshedVersion="0" background="1">
    <dbPr connection="Provider=Microsoft.Mashup.OleDb.1;Data Source=$Workbook$;Location=&quot;Table_2002_112_10&quot;;Extended Properties=&quot;&quot;" commandType="0"/>
  </connection>
  <connection id="738" xr16:uid="{471E77BC-4F22-47B6-8B6E-448A4AF32367}" keepAlive="1" name="連線1661" type="5" refreshedVersion="0" background="1">
    <dbPr connection="Provider=Microsoft.Mashup.OleDb.1;Data Source=$Workbook$;Location=&quot;Table_2002_112_07&quot;;Extended Properties=&quot;&quot;" commandType="0"/>
  </connection>
  <connection id="739" xr16:uid="{64168333-546E-4402-964D-3BD985EA0F64}" keepAlive="1" name="連線1662" type="5" refreshedVersion="0" background="1">
    <dbPr connection="Provider=Microsoft.Mashup.OleDb.1;Data Source=$Workbook$;Location=&quot;Table_2882_112_12&quot;;Extended Properties=&quot;&quot;" commandType="0"/>
  </connection>
  <connection id="740" xr16:uid="{73A630E0-F08B-4EC3-9EF6-BB48A71ED3E9}" keepAlive="1" name="連線1663" type="5" refreshedVersion="0" background="1">
    <dbPr connection="Provider=Microsoft.Mashup.OleDb.1;Data Source=$Workbook$;Location=&quot;Table_2882_112_10&quot;;Extended Properties=&quot;&quot;" commandType="0"/>
  </connection>
  <connection id="741" xr16:uid="{C6F5F589-5945-4068-B832-59F1C401FA58}" keepAlive="1" name="連線1664" type="5" refreshedVersion="0" background="1">
    <dbPr connection="Provider=Microsoft.Mashup.OleDb.1;Data Source=$Workbook$;Location=&quot;Table_2882_112_07&quot;;Extended Properties=&quot;&quot;" commandType="0"/>
  </connection>
  <connection id="742" xr16:uid="{8D51669E-B069-47DF-9897-B8C243C58B4D}" keepAlive="1" name="連線1665" type="5" refreshedVersion="0" background="1">
    <dbPr connection="Provider=Microsoft.Mashup.OleDb.1;Data Source=$Workbook$;Location=&quot;Table_00878_112_12&quot;;Extended Properties=&quot;&quot;" commandType="0"/>
  </connection>
  <connection id="743" xr16:uid="{4BAF3072-2038-4142-924D-AE46AD4C90EE}" keepAlive="1" name="連線1666" type="5" refreshedVersion="0" background="1">
    <dbPr connection="Provider=Microsoft.Mashup.OleDb.1;Data Source=$Workbook$;Location=&quot;Table_00878_112_10&quot;;Extended Properties=&quot;&quot;" commandType="0"/>
  </connection>
  <connection id="744" xr16:uid="{DF50F7CA-FEF3-405D-A84A-DCEE78F94704}" keepAlive="1" name="連線1667" type="5" refreshedVersion="0" background="1">
    <dbPr connection="Provider=Microsoft.Mashup.OleDb.1;Data Source=$Workbook$;Location=&quot;Table_00878_112_07&quot;;Extended Properties=&quot;&quot;" commandType="0"/>
  </connection>
  <connection id="745" xr16:uid="{2FA3A260-B651-488C-BE64-213CEE4AD5E7}" keepAlive="1" name="連線1668" type="5" refreshedVersion="0" background="1">
    <dbPr connection="Provider=Microsoft.Mashup.OleDb.1;Data Source=$Workbook$;Location=&quot;Table_1101_112_12&quot;;Extended Properties=&quot;&quot;" commandType="0"/>
  </connection>
  <connection id="746" xr16:uid="{0825DA8F-BE8E-4980-B8D7-E8C60F6BD0E1}" keepAlive="1" name="連線1669" type="5" refreshedVersion="0" background="1">
    <dbPr connection="Provider=Microsoft.Mashup.OleDb.1;Data Source=$Workbook$;Location=&quot;Table_1101_112_10&quot;;Extended Properties=&quot;&quot;" commandType="0"/>
  </connection>
  <connection id="747" xr16:uid="{F8926ADA-25C2-4232-8114-3DE5EDC9230E}" keepAlive="1" name="連線167" type="5" refreshedVersion="0" background="1">
    <dbPr connection="Provider=Microsoft.Mashup.OleDb.1;Data Source=$Workbook$;Location=&quot;Table_2002_113_01&quot;;Extended Properties=&quot;&quot;" commandType="0"/>
  </connection>
  <connection id="748" xr16:uid="{3CD6D679-DBAC-4E2B-BF56-8A101B4B04D9}" keepAlive="1" name="連線1670" type="5" refreshedVersion="0" background="1">
    <dbPr connection="Provider=Microsoft.Mashup.OleDb.1;Data Source=$Workbook$;Location=&quot;Table_1101_112_07&quot;;Extended Properties=&quot;&quot;" commandType="0"/>
  </connection>
  <connection id="749" xr16:uid="{F6967E84-8512-494D-B3CA-E888D161367A}" keepAlive="1" name="連線1671" type="5" refreshedVersion="0" background="1">
    <dbPr connection="Provider=Microsoft.Mashup.OleDb.1;Data Source=$Workbook$;Location=&quot;Table_2912_112_12&quot;;Extended Properties=&quot;&quot;" commandType="0"/>
  </connection>
  <connection id="750" xr16:uid="{598802A8-8374-428B-BE6E-D973EB340629}" keepAlive="1" name="連線1672" type="5" refreshedVersion="0" background="1">
    <dbPr connection="Provider=Microsoft.Mashup.OleDb.1;Data Source=$Workbook$;Location=&quot;Table_2912_112_10&quot;;Extended Properties=&quot;&quot;" commandType="0"/>
  </connection>
  <connection id="751" xr16:uid="{2F1BCEC1-B211-4D60-827B-7132A2A0C703}" keepAlive="1" name="連線1673" type="5" refreshedVersion="0" background="1">
    <dbPr connection="Provider=Microsoft.Mashup.OleDb.1;Data Source=$Workbook$;Location=&quot;Table_2912_112_07&quot;;Extended Properties=&quot;&quot;" commandType="0"/>
  </connection>
  <connection id="752" xr16:uid="{8F8D9949-FE66-407F-A698-B66797FFF44A}" keepAlive="1" name="連線1674" type="5" refreshedVersion="0" background="1">
    <dbPr connection="Provider=Microsoft.Mashup.OleDb.1;Data Source=$Workbook$;Location=&quot;Table_2002_112_12&quot;;Extended Properties=&quot;&quot;" commandType="0"/>
  </connection>
  <connection id="753" xr16:uid="{18D5AF94-D0F0-4CA6-8EDD-30B1E7C36791}" keepAlive="1" name="連線1675" type="5" refreshedVersion="0" background="1">
    <dbPr connection="Provider=Microsoft.Mashup.OleDb.1;Data Source=$Workbook$;Location=&quot;Table_2002_112_10&quot;;Extended Properties=&quot;&quot;" commandType="0"/>
  </connection>
  <connection id="754" xr16:uid="{CD692FA5-928A-46B7-942E-8DA907690AE7}" keepAlive="1" name="連線1676" type="5" refreshedVersion="0" background="1">
    <dbPr connection="Provider=Microsoft.Mashup.OleDb.1;Data Source=$Workbook$;Location=&quot;Table_2002_112_07&quot;;Extended Properties=&quot;&quot;" commandType="0"/>
  </connection>
  <connection id="755" xr16:uid="{D0FCA805-434E-44C7-B26A-8ADD5B40C6D9}" keepAlive="1" name="連線1677" type="5" refreshedVersion="0" background="1">
    <dbPr connection="Provider=Microsoft.Mashup.OleDb.1;Data Source=$Workbook$;Location=&quot;Table_2882_112_12&quot;;Extended Properties=&quot;&quot;" commandType="0"/>
  </connection>
  <connection id="756" xr16:uid="{011DCF86-15B6-4A12-AC5F-A4A28699055B}" keepAlive="1" name="連線1678" type="5" refreshedVersion="0" background="1">
    <dbPr connection="Provider=Microsoft.Mashup.OleDb.1;Data Source=$Workbook$;Location=&quot;Table_2882_112_10&quot;;Extended Properties=&quot;&quot;" commandType="0"/>
  </connection>
  <connection id="757" xr16:uid="{964ED571-D748-4C97-9E52-2B04C5C0CBAE}" keepAlive="1" name="連線1679" type="5" refreshedVersion="0" background="1">
    <dbPr connection="Provider=Microsoft.Mashup.OleDb.1;Data Source=$Workbook$;Location=&quot;Table_2882_112_07&quot;;Extended Properties=&quot;&quot;" commandType="0"/>
  </connection>
  <connection id="758" xr16:uid="{57CD2F16-E089-4412-A9FF-10DE51D2F80C}" keepAlive="1" name="連線168" type="5" refreshedVersion="0" background="1">
    <dbPr connection="Provider=Microsoft.Mashup.OleDb.1;Data Source=$Workbook$;Location=&quot;Table_2002_113_02&quot;;Extended Properties=&quot;&quot;" commandType="0"/>
  </connection>
  <connection id="759" xr16:uid="{EB4040B4-C0A9-47D0-918F-97CFB1FA166E}" keepAlive="1" name="連線1680" type="5" refreshedVersion="0" background="1">
    <dbPr connection="Provider=Microsoft.Mashup.OleDb.1;Data Source=$Workbook$;Location=&quot;Table_00878_112_12&quot;;Extended Properties=&quot;&quot;" commandType="0"/>
  </connection>
  <connection id="760" xr16:uid="{D41FFD77-5025-44B2-99B5-BC9FE7A65A56}" keepAlive="1" name="連線1681" type="5" refreshedVersion="0" background="1">
    <dbPr connection="Provider=Microsoft.Mashup.OleDb.1;Data Source=$Workbook$;Location=&quot;Table_00878_112_10&quot;;Extended Properties=&quot;&quot;" commandType="0"/>
  </connection>
  <connection id="761" xr16:uid="{AD4B88F1-413E-427C-87E8-C1BB3A9A00E8}" keepAlive="1" name="連線1682" type="5" refreshedVersion="0" background="1">
    <dbPr connection="Provider=Microsoft.Mashup.OleDb.1;Data Source=$Workbook$;Location=&quot;Table_00878_112_07&quot;;Extended Properties=&quot;&quot;" commandType="0"/>
  </connection>
  <connection id="762" xr16:uid="{EA93DE86-FC7C-45A2-94D8-965D3B11B884}" keepAlive="1" name="連線1683" type="5" refreshedVersion="0" background="1">
    <dbPr connection="Provider=Microsoft.Mashup.OleDb.1;Data Source=$Workbook$;Location=&quot;Table_1101_112_12&quot;;Extended Properties=&quot;&quot;" commandType="0"/>
  </connection>
  <connection id="763" xr16:uid="{517390EB-A7A9-45C9-A2A2-B9AF42D594D4}" keepAlive="1" name="連線1684" type="5" refreshedVersion="0" background="1">
    <dbPr connection="Provider=Microsoft.Mashup.OleDb.1;Data Source=$Workbook$;Location=&quot;Table_1101_112_10&quot;;Extended Properties=&quot;&quot;" commandType="0"/>
  </connection>
  <connection id="764" xr16:uid="{42420E77-1464-43EB-A8A5-68791903A916}" keepAlive="1" name="連線1685" type="5" refreshedVersion="0" background="1">
    <dbPr connection="Provider=Microsoft.Mashup.OleDb.1;Data Source=$Workbook$;Location=&quot;Table_1101_112_07&quot;;Extended Properties=&quot;&quot;" commandType="0"/>
  </connection>
  <connection id="765" xr16:uid="{5BA6A38E-BDE0-4D59-AB65-D8491BB3CC9C}" keepAlive="1" name="連線1686" type="5" refreshedVersion="0" background="1">
    <dbPr connection="Provider=Microsoft.Mashup.OleDb.1;Data Source=$Workbook$;Location=&quot;Table_2912_112_12&quot;;Extended Properties=&quot;&quot;" commandType="0"/>
  </connection>
  <connection id="766" xr16:uid="{A4A9B078-5E01-458E-878A-685B2FA79711}" keepAlive="1" name="連線1687" type="5" refreshedVersion="0" background="1">
    <dbPr connection="Provider=Microsoft.Mashup.OleDb.1;Data Source=$Workbook$;Location=&quot;Table_2912_112_10&quot;;Extended Properties=&quot;&quot;" commandType="0"/>
  </connection>
  <connection id="767" xr16:uid="{FDBA3EF7-A916-4BAE-89D9-1CA6DB980E2F}" keepAlive="1" name="連線1688" type="5" refreshedVersion="0" background="1">
    <dbPr connection="Provider=Microsoft.Mashup.OleDb.1;Data Source=$Workbook$;Location=&quot;Table_2912_112_07&quot;;Extended Properties=&quot;&quot;" commandType="0"/>
  </connection>
  <connection id="768" xr16:uid="{D7FC7359-19A3-40B0-ADB7-B33AA6D4B25B}" keepAlive="1" name="連線1689" type="5" refreshedVersion="0" background="1">
    <dbPr connection="Provider=Microsoft.Mashup.OleDb.1;Data Source=$Workbook$;Location=&quot;Table_2002_112_12&quot;;Extended Properties=&quot;&quot;" commandType="0"/>
  </connection>
  <connection id="769" xr16:uid="{1EB4B549-DF58-4CCA-8AB7-9FD5DC130B60}" keepAlive="1" name="連線169" type="5" refreshedVersion="0" background="1">
    <dbPr connection="Provider=Microsoft.Mashup.OleDb.1;Data Source=$Workbook$;Location=&quot;Table_2002_113_03&quot;;Extended Properties=&quot;&quot;" commandType="0"/>
  </connection>
  <connection id="770" xr16:uid="{7EE3A530-CCBE-4D4E-8DB7-D5C4689A0ECC}" keepAlive="1" name="連線1690" type="5" refreshedVersion="0" background="1">
    <dbPr connection="Provider=Microsoft.Mashup.OleDb.1;Data Source=$Workbook$;Location=&quot;Table_2002_112_10&quot;;Extended Properties=&quot;&quot;" commandType="0"/>
  </connection>
  <connection id="771" xr16:uid="{70811B74-6F3C-4D72-9993-86EC5C34DE26}" keepAlive="1" name="連線1691" type="5" refreshedVersion="0" background="1">
    <dbPr connection="Provider=Microsoft.Mashup.OleDb.1;Data Source=$Workbook$;Location=&quot;Table_2002_112_07&quot;;Extended Properties=&quot;&quot;" commandType="0"/>
  </connection>
  <connection id="772" xr16:uid="{1D13A2DB-C0CE-474E-9E13-35EBC627723A}" keepAlive="1" name="連線1692" type="5" refreshedVersion="0" background="1">
    <dbPr connection="Provider=Microsoft.Mashup.OleDb.1;Data Source=$Workbook$;Location=&quot;Table_2882_112_12&quot;;Extended Properties=&quot;&quot;" commandType="0"/>
  </connection>
  <connection id="773" xr16:uid="{97B57527-2256-46D3-BAED-9CC5320054ED}" keepAlive="1" name="連線1693" type="5" refreshedVersion="0" background="1">
    <dbPr connection="Provider=Microsoft.Mashup.OleDb.1;Data Source=$Workbook$;Location=&quot;Table_2882_112_10&quot;;Extended Properties=&quot;&quot;" commandType="0"/>
  </connection>
  <connection id="774" xr16:uid="{7575179A-FDFE-4722-9297-01B7F66EBB60}" keepAlive="1" name="連線1694" type="5" refreshedVersion="0" background="1">
    <dbPr connection="Provider=Microsoft.Mashup.OleDb.1;Data Source=$Workbook$;Location=&quot;Table_2882_112_07&quot;;Extended Properties=&quot;&quot;" commandType="0"/>
  </connection>
  <connection id="775" xr16:uid="{96812699-EF71-4B10-846E-B40A5706A094}" keepAlive="1" name="連線1695" type="5" refreshedVersion="0" background="1">
    <dbPr connection="Provider=Microsoft.Mashup.OleDb.1;Data Source=$Workbook$;Location=&quot;Table_00878_112_12&quot;;Extended Properties=&quot;&quot;" commandType="0"/>
  </connection>
  <connection id="776" xr16:uid="{E04C20CD-17A0-4421-A5A3-78C72FD55B7B}" keepAlive="1" name="連線1696" type="5" refreshedVersion="0" background="1">
    <dbPr connection="Provider=Microsoft.Mashup.OleDb.1;Data Source=$Workbook$;Location=&quot;Table_00878_112_10&quot;;Extended Properties=&quot;&quot;" commandType="0"/>
  </connection>
  <connection id="777" xr16:uid="{9C946F55-A622-4AE6-BDBA-A781CFDF039A}" keepAlive="1" name="連線1697" type="5" refreshedVersion="0" background="1">
    <dbPr connection="Provider=Microsoft.Mashup.OleDb.1;Data Source=$Workbook$;Location=&quot;Table_00878_112_07&quot;;Extended Properties=&quot;&quot;" commandType="0"/>
  </connection>
  <connection id="778" xr16:uid="{D505D2B4-9CBB-4FE7-AA67-DCA9DCC9E146}" keepAlive="1" name="連線1698" type="5" refreshedVersion="0" background="1">
    <dbPr connection="Provider=Microsoft.Mashup.OleDb.1;Data Source=$Workbook$;Location=&quot;Table_1101_112_12&quot;;Extended Properties=&quot;&quot;" commandType="0"/>
  </connection>
  <connection id="779" xr16:uid="{1D94606F-B787-4199-A196-35C7C655CB82}" keepAlive="1" name="連線1699" type="5" refreshedVersion="0" background="1">
    <dbPr connection="Provider=Microsoft.Mashup.OleDb.1;Data Source=$Workbook$;Location=&quot;Table_1101_112_10&quot;;Extended Properties=&quot;&quot;" commandType="0"/>
  </connection>
  <connection id="780" xr16:uid="{6B35F02F-2B86-4C84-8B82-D04F03E52CBA}" keepAlive="1" name="連線17" type="5" refreshedVersion="0" background="1">
    <dbPr connection="Provider=Microsoft.Mashup.OleDb.1;Data Source=$Workbook$;Location=&quot;Table 5&quot;;Extended Properties=&quot;&quot;" commandType="0"/>
  </connection>
  <connection id="781" xr16:uid="{E9C149F3-DF23-4873-9670-8757B23C7F45}" keepAlive="1" name="連線170" type="5" refreshedVersion="0" background="1">
    <dbPr connection="Provider=Microsoft.Mashup.OleDb.1;Data Source=$Workbook$;Location=&quot;Table_投資組合比重__&quot;;Extended Properties=&quot;&quot;" commandType="0"/>
  </connection>
  <connection id="782" xr16:uid="{D6791EB1-8C50-43FF-BD58-47981A2FDF0A}" keepAlive="1" name="連線1700" type="5" refreshedVersion="0" background="1">
    <dbPr connection="Provider=Microsoft.Mashup.OleDb.1;Data Source=$Workbook$;Location=&quot;Table_1101_112_07&quot;;Extended Properties=&quot;&quot;" commandType="0"/>
  </connection>
  <connection id="783" xr16:uid="{E7E3412B-68AC-4B1D-A934-E9FBD9EBD42D}" keepAlive="1" name="連線1701" type="5" refreshedVersion="0" background="1">
    <dbPr connection="Provider=Microsoft.Mashup.OleDb.1;Data Source=$Workbook$;Location=&quot;Table_2912_112_12&quot;;Extended Properties=&quot;&quot;" commandType="0"/>
  </connection>
  <connection id="784" xr16:uid="{EE3EBA46-2506-4619-9103-FBF1CED32A0F}" keepAlive="1" name="連線1702" type="5" refreshedVersion="0" background="1">
    <dbPr connection="Provider=Microsoft.Mashup.OleDb.1;Data Source=$Workbook$;Location=&quot;Table_2912_112_10&quot;;Extended Properties=&quot;&quot;" commandType="0"/>
  </connection>
  <connection id="785" xr16:uid="{C0881EBB-784E-468C-A198-15D4B1101760}" keepAlive="1" name="連線1703" type="5" refreshedVersion="0" background="1">
    <dbPr connection="Provider=Microsoft.Mashup.OleDb.1;Data Source=$Workbook$;Location=&quot;Table_2912_112_07&quot;;Extended Properties=&quot;&quot;" commandType="0"/>
  </connection>
  <connection id="786" xr16:uid="{19776738-F4CE-4F76-919C-BDC357C2D7EA}" keepAlive="1" name="連線1704" type="5" refreshedVersion="0" background="1">
    <dbPr connection="Provider=Microsoft.Mashup.OleDb.1;Data Source=$Workbook$;Location=&quot;Table_2002_112_12&quot;;Extended Properties=&quot;&quot;" commandType="0"/>
  </connection>
  <connection id="787" xr16:uid="{B34E5B71-3524-4FB7-9253-C9C08CEA0870}" keepAlive="1" name="連線1705" type="5" refreshedVersion="0" background="1">
    <dbPr connection="Provider=Microsoft.Mashup.OleDb.1;Data Source=$Workbook$;Location=&quot;Table_2002_112_10&quot;;Extended Properties=&quot;&quot;" commandType="0"/>
  </connection>
  <connection id="788" xr16:uid="{8EB29087-28FF-4B4A-8211-AE073EA3D5A9}" keepAlive="1" name="連線1706" type="5" refreshedVersion="0" background="1">
    <dbPr connection="Provider=Microsoft.Mashup.OleDb.1;Data Source=$Workbook$;Location=&quot;Table_2002_112_07&quot;;Extended Properties=&quot;&quot;" commandType="0"/>
  </connection>
  <connection id="789" xr16:uid="{A70F7A86-8110-40F6-B933-DD71E75CFE4C}" keepAlive="1" name="連線1707" type="5" refreshedVersion="0" background="1">
    <dbPr connection="Provider=Microsoft.Mashup.OleDb.1;Data Source=$Workbook$;Location=&quot;Table_2882_112_12&quot;;Extended Properties=&quot;&quot;" commandType="0"/>
  </connection>
  <connection id="790" xr16:uid="{130C148D-11F7-4418-8A4D-49A6761760FF}" keepAlive="1" name="連線1708" type="5" refreshedVersion="0" background="1">
    <dbPr connection="Provider=Microsoft.Mashup.OleDb.1;Data Source=$Workbook$;Location=&quot;Table_2882_112_10&quot;;Extended Properties=&quot;&quot;" commandType="0"/>
  </connection>
  <connection id="791" xr16:uid="{B4961B41-9CE7-41F4-B20B-1FC5882A70F6}" keepAlive="1" name="連線1709" type="5" refreshedVersion="0" background="1">
    <dbPr connection="Provider=Microsoft.Mashup.OleDb.1;Data Source=$Workbook$;Location=&quot;Table_2882_112_07&quot;;Extended Properties=&quot;&quot;" commandType="0"/>
  </connection>
  <connection id="792" xr16:uid="{0150E6ED-97C3-4AA0-AB2C-A1D74E626E58}" keepAlive="1" name="連線171" type="5" refreshedVersion="0" background="1">
    <dbPr connection="Provider=Microsoft.Mashup.OleDb.1;Data Source=$Workbook$;Location=&quot;Table_2330_113_01&quot;;Extended Properties=&quot;&quot;" commandType="0"/>
  </connection>
  <connection id="793" xr16:uid="{DED58922-AF8C-4C5A-81D4-F1B4F970AA02}" keepAlive="1" name="連線1710" type="5" refreshedVersion="0" background="1">
    <dbPr connection="Provider=Microsoft.Mashup.OleDb.1;Data Source=$Workbook$;Location=&quot;Table_00878_112_12&quot;;Extended Properties=&quot;&quot;" commandType="0"/>
  </connection>
  <connection id="794" xr16:uid="{5DB663DC-0F8B-44D6-8570-A36A6140EEC8}" keepAlive="1" name="連線1711" type="5" refreshedVersion="0" background="1">
    <dbPr connection="Provider=Microsoft.Mashup.OleDb.1;Data Source=$Workbook$;Location=&quot;Table_00878_112_10&quot;;Extended Properties=&quot;&quot;" commandType="0"/>
  </connection>
  <connection id="795" xr16:uid="{26C27E68-9BEA-4FDA-96D0-A5AD87C88AC6}" keepAlive="1" name="連線1712" type="5" refreshedVersion="0" background="1">
    <dbPr connection="Provider=Microsoft.Mashup.OleDb.1;Data Source=$Workbook$;Location=&quot;Table_00878_112_07&quot;;Extended Properties=&quot;&quot;" commandType="0"/>
  </connection>
  <connection id="796" xr16:uid="{453BD17C-A403-4240-A12D-E72673B0267E}" keepAlive="1" name="連線1713" type="5" refreshedVersion="0" background="1">
    <dbPr connection="Provider=Microsoft.Mashup.OleDb.1;Data Source=$Workbook$;Location=&quot;Table_1101_112_12&quot;;Extended Properties=&quot;&quot;" commandType="0"/>
  </connection>
  <connection id="797" xr16:uid="{D8DA3808-9B47-419D-A134-9EAA655B1262}" keepAlive="1" name="連線1714" type="5" refreshedVersion="0" background="1">
    <dbPr connection="Provider=Microsoft.Mashup.OleDb.1;Data Source=$Workbook$;Location=&quot;Table_1101_112_10&quot;;Extended Properties=&quot;&quot;" commandType="0"/>
  </connection>
  <connection id="798" xr16:uid="{9BB0CC19-E860-42E7-933C-CDFD797AFF6B}" keepAlive="1" name="連線1715" type="5" refreshedVersion="0" background="1">
    <dbPr connection="Provider=Microsoft.Mashup.OleDb.1;Data Source=$Workbook$;Location=&quot;Table_1101_112_07&quot;;Extended Properties=&quot;&quot;" commandType="0"/>
  </connection>
  <connection id="799" xr16:uid="{4C4B5500-C33D-41A8-823F-5609863FDB51}" keepAlive="1" name="連線1716" type="5" refreshedVersion="0" background="1">
    <dbPr connection="Provider=Microsoft.Mashup.OleDb.1;Data Source=$Workbook$;Location=&quot;Table_2912_112_12&quot;;Extended Properties=&quot;&quot;" commandType="0"/>
  </connection>
  <connection id="800" xr16:uid="{407DAA7B-36C0-49E7-BFA6-966D452F2FB9}" keepAlive="1" name="連線1717" type="5" refreshedVersion="0" background="1">
    <dbPr connection="Provider=Microsoft.Mashup.OleDb.1;Data Source=$Workbook$;Location=&quot;Table_2912_112_10&quot;;Extended Properties=&quot;&quot;" commandType="0"/>
  </connection>
  <connection id="801" xr16:uid="{CD30D56E-049E-4164-AA85-51859E1EA3C4}" keepAlive="1" name="連線1718" type="5" refreshedVersion="0" background="1">
    <dbPr connection="Provider=Microsoft.Mashup.OleDb.1;Data Source=$Workbook$;Location=&quot;Table_2912_112_07&quot;;Extended Properties=&quot;&quot;" commandType="0"/>
  </connection>
  <connection id="802" xr16:uid="{4AA2D473-C440-49C9-AA61-5DE509C46125}" keepAlive="1" name="連線1719" type="5" refreshedVersion="0" background="1">
    <dbPr connection="Provider=Microsoft.Mashup.OleDb.1;Data Source=$Workbook$;Location=&quot;Table_2002_112_12&quot;;Extended Properties=&quot;&quot;" commandType="0"/>
  </connection>
  <connection id="803" xr16:uid="{9DFF807C-657A-41AA-9CF2-8D963DA6A416}" keepAlive="1" name="連線172" type="5" refreshedVersion="0" background="1">
    <dbPr connection="Provider=Microsoft.Mashup.OleDb.1;Data Source=$Workbook$;Location=&quot;Table_2330_113_02&quot;;Extended Properties=&quot;&quot;" commandType="0"/>
  </connection>
  <connection id="804" xr16:uid="{8FC63D50-BB68-4BE6-9C4B-06D93EBC505B}" keepAlive="1" name="連線1720" type="5" refreshedVersion="0" background="1">
    <dbPr connection="Provider=Microsoft.Mashup.OleDb.1;Data Source=$Workbook$;Location=&quot;Table_2002_112_10&quot;;Extended Properties=&quot;&quot;" commandType="0"/>
  </connection>
  <connection id="805" xr16:uid="{7D5A0579-3CC4-4829-9BA9-D98ABC3DFF28}" keepAlive="1" name="連線1721" type="5" refreshedVersion="0" background="1">
    <dbPr connection="Provider=Microsoft.Mashup.OleDb.1;Data Source=$Workbook$;Location=&quot;Table_2002_112_07&quot;;Extended Properties=&quot;&quot;" commandType="0"/>
  </connection>
  <connection id="806" xr16:uid="{C6D598B4-4151-4243-9A64-9C4F15ED710F}" keepAlive="1" name="連線1722" type="5" refreshedVersion="0" background="1">
    <dbPr connection="Provider=Microsoft.Mashup.OleDb.1;Data Source=$Workbook$;Location=&quot;Table_2882_112_12&quot;;Extended Properties=&quot;&quot;" commandType="0"/>
  </connection>
  <connection id="807" xr16:uid="{4072FC9D-AA4D-4897-BF94-97E9FDD3E06F}" keepAlive="1" name="連線1723" type="5" refreshedVersion="0" background="1">
    <dbPr connection="Provider=Microsoft.Mashup.OleDb.1;Data Source=$Workbook$;Location=&quot;Table_2882_112_10&quot;;Extended Properties=&quot;&quot;" commandType="0"/>
  </connection>
  <connection id="808" xr16:uid="{B2CF78BD-7746-47A0-9FDD-D5665D7575BF}" keepAlive="1" name="連線1724" type="5" refreshedVersion="0" background="1">
    <dbPr connection="Provider=Microsoft.Mashup.OleDb.1;Data Source=$Workbook$;Location=&quot;Table_2882_112_07&quot;;Extended Properties=&quot;&quot;" commandType="0"/>
  </connection>
  <connection id="809" xr16:uid="{C9DAE281-B6DB-4E8F-8F92-7C18141B5166}" keepAlive="1" name="連線1725" type="5" refreshedVersion="0" background="1">
    <dbPr connection="Provider=Microsoft.Mashup.OleDb.1;Data Source=$Workbook$;Location=&quot;Table_00878_112_12&quot;;Extended Properties=&quot;&quot;" commandType="0"/>
  </connection>
  <connection id="810" xr16:uid="{7F41253B-BB3A-41B6-99FD-1E44B3E5E66C}" keepAlive="1" name="連線1726" type="5" refreshedVersion="0" background="1">
    <dbPr connection="Provider=Microsoft.Mashup.OleDb.1;Data Source=$Workbook$;Location=&quot;Table_00878_112_10&quot;;Extended Properties=&quot;&quot;" commandType="0"/>
  </connection>
  <connection id="811" xr16:uid="{0948E9A6-3DDE-4C9D-94CD-19C96D9BDCF4}" keepAlive="1" name="連線1727" type="5" refreshedVersion="0" background="1">
    <dbPr connection="Provider=Microsoft.Mashup.OleDb.1;Data Source=$Workbook$;Location=&quot;Table_00878_112_07&quot;;Extended Properties=&quot;&quot;" commandType="0"/>
  </connection>
  <connection id="812" xr16:uid="{05F78B1C-B171-4B87-A7F0-0D3D30BC45CF}" keepAlive="1" name="連線1728" type="5" refreshedVersion="0" background="1">
    <dbPr connection="Provider=Microsoft.Mashup.OleDb.1;Data Source=$Workbook$;Location=&quot;Table_1101_112_12&quot;;Extended Properties=&quot;&quot;" commandType="0"/>
  </connection>
  <connection id="813" xr16:uid="{256603FA-6E04-4E93-9343-19BCC3FB8074}" keepAlive="1" name="連線1729" type="5" refreshedVersion="0" background="1">
    <dbPr connection="Provider=Microsoft.Mashup.OleDb.1;Data Source=$Workbook$;Location=&quot;Table_1101_112_10&quot;;Extended Properties=&quot;&quot;" commandType="0"/>
  </connection>
  <connection id="814" xr16:uid="{E5B8E7B2-6A6A-4AFF-8F2B-57DA545B0B49}" keepAlive="1" name="連線173" type="5" refreshedVersion="0" background="1">
    <dbPr connection="Provider=Microsoft.Mashup.OleDb.1;Data Source=$Workbook$;Location=&quot;Table_2330_113_03&quot;;Extended Properties=&quot;&quot;" commandType="0"/>
  </connection>
  <connection id="815" xr16:uid="{C17778B1-3245-4D7F-9438-B9569CB193D0}" keepAlive="1" name="連線1730" type="5" refreshedVersion="0" background="1">
    <dbPr connection="Provider=Microsoft.Mashup.OleDb.1;Data Source=$Workbook$;Location=&quot;Table_1101_112_07&quot;;Extended Properties=&quot;&quot;" commandType="0"/>
  </connection>
  <connection id="816" xr16:uid="{E9AE5C3F-B5F5-4652-A368-47E2772287B9}" keepAlive="1" name="連線1731" type="5" refreshedVersion="0" background="1">
    <dbPr connection="Provider=Microsoft.Mashup.OleDb.1;Data Source=$Workbook$;Location=&quot;Table_2912_112_12&quot;;Extended Properties=&quot;&quot;" commandType="0"/>
  </connection>
  <connection id="817" xr16:uid="{30AE1415-6473-48C7-9240-D3B140EADF0A}" keepAlive="1" name="連線1732" type="5" refreshedVersion="0" background="1">
    <dbPr connection="Provider=Microsoft.Mashup.OleDb.1;Data Source=$Workbook$;Location=&quot;Table_2912_112_10&quot;;Extended Properties=&quot;&quot;" commandType="0"/>
  </connection>
  <connection id="818" xr16:uid="{7ABFAF59-5203-46EA-B39C-6A8269B8E4EA}" keepAlive="1" name="連線1733" type="5" refreshedVersion="0" background="1">
    <dbPr connection="Provider=Microsoft.Mashup.OleDb.1;Data Source=$Workbook$;Location=&quot;Table_2912_112_07&quot;;Extended Properties=&quot;&quot;" commandType="0"/>
  </connection>
  <connection id="819" xr16:uid="{DC7111F8-1356-4D9B-828C-EB8781712E3D}" keepAlive="1" name="連線1734" type="5" refreshedVersion="0" background="1">
    <dbPr connection="Provider=Microsoft.Mashup.OleDb.1;Data Source=$Workbook$;Location=&quot;Table_2002_112_12&quot;;Extended Properties=&quot;&quot;" commandType="0"/>
  </connection>
  <connection id="820" xr16:uid="{D3ADF730-2000-4D46-82B5-DBCC0DF25B9E}" keepAlive="1" name="連線1735" type="5" refreshedVersion="0" background="1">
    <dbPr connection="Provider=Microsoft.Mashup.OleDb.1;Data Source=$Workbook$;Location=&quot;Table_2002_112_10&quot;;Extended Properties=&quot;&quot;" commandType="0"/>
  </connection>
  <connection id="821" xr16:uid="{BD112DB0-2476-4A05-9DD7-A1C9F997F84A}" keepAlive="1" name="連線1736" type="5" refreshedVersion="0" background="1">
    <dbPr connection="Provider=Microsoft.Mashup.OleDb.1;Data Source=$Workbook$;Location=&quot;Table_2002_112_07&quot;;Extended Properties=&quot;&quot;" commandType="0"/>
  </connection>
  <connection id="822" xr16:uid="{10C9546C-F621-4E28-AD31-E2BC84B66B73}" keepAlive="1" name="連線1737" type="5" refreshedVersion="0" background="1">
    <dbPr connection="Provider=Microsoft.Mashup.OleDb.1;Data Source=$Workbook$;Location=&quot;Table_2882_112_12&quot;;Extended Properties=&quot;&quot;" commandType="0"/>
  </connection>
  <connection id="823" xr16:uid="{C9A91DFC-636F-40DF-8FC0-BD6E158A39A4}" keepAlive="1" name="連線1738" type="5" refreshedVersion="0" background="1">
    <dbPr connection="Provider=Microsoft.Mashup.OleDb.1;Data Source=$Workbook$;Location=&quot;Table_2882_112_10&quot;;Extended Properties=&quot;&quot;" commandType="0"/>
  </connection>
  <connection id="824" xr16:uid="{A0706F3D-3AF4-47F1-A454-B3C3EC5DF56E}" keepAlive="1" name="連線1739" type="5" refreshedVersion="0" background="1">
    <dbPr connection="Provider=Microsoft.Mashup.OleDb.1;Data Source=$Workbook$;Location=&quot;Table_2882_112_07&quot;;Extended Properties=&quot;&quot;" commandType="0"/>
  </connection>
  <connection id="825" xr16:uid="{6C527CC1-9F55-44AD-B25D-2129BA19CDEE}" keepAlive="1" name="連線174" type="5" refreshedVersion="0" background="1">
    <dbPr connection="Provider=Microsoft.Mashup.OleDb.1;Data Source=$Workbook$;Location=&quot;Table_1101_113_01&quot;;Extended Properties=&quot;&quot;" commandType="0"/>
  </connection>
  <connection id="826" xr16:uid="{E743CA41-F8FB-4357-A291-F7A97F9C0E3C}" keepAlive="1" name="連線1740" type="5" refreshedVersion="0" background="1">
    <dbPr connection="Provider=Microsoft.Mashup.OleDb.1;Data Source=$Workbook$;Location=&quot;Table_00878_112_12&quot;;Extended Properties=&quot;&quot;" commandType="0"/>
  </connection>
  <connection id="827" xr16:uid="{7AAB4D41-91DE-46AC-9DE8-A18169782C10}" keepAlive="1" name="連線1741" type="5" refreshedVersion="0" background="1">
    <dbPr connection="Provider=Microsoft.Mashup.OleDb.1;Data Source=$Workbook$;Location=&quot;Table_00878_112_10&quot;;Extended Properties=&quot;&quot;" commandType="0"/>
  </connection>
  <connection id="828" xr16:uid="{CDB464EC-EC07-4A13-8C11-275591EA737D}" keepAlive="1" name="連線1742" type="5" refreshedVersion="0" background="1">
    <dbPr connection="Provider=Microsoft.Mashup.OleDb.1;Data Source=$Workbook$;Location=&quot;Table_00878_112_07&quot;;Extended Properties=&quot;&quot;" commandType="0"/>
  </connection>
  <connection id="829" xr16:uid="{2179B9A9-86D0-498A-AE4C-C5646BD8F659}" keepAlive="1" name="連線1743" type="5" refreshedVersion="0" background="1">
    <dbPr connection="Provider=Microsoft.Mashup.OleDb.1;Data Source=$Workbook$;Location=&quot;Table_1101_112_12&quot;;Extended Properties=&quot;&quot;" commandType="0"/>
  </connection>
  <connection id="830" xr16:uid="{9C285CD6-DCA3-4A44-9830-7947DC35F85E}" keepAlive="1" name="連線1744" type="5" refreshedVersion="0" background="1">
    <dbPr connection="Provider=Microsoft.Mashup.OleDb.1;Data Source=$Workbook$;Location=&quot;Table_1101_112_10&quot;;Extended Properties=&quot;&quot;" commandType="0"/>
  </connection>
  <connection id="831" xr16:uid="{7E27147D-C3ED-4608-A847-A38C6D4B6CE1}" keepAlive="1" name="連線1745" type="5" refreshedVersion="0" background="1">
    <dbPr connection="Provider=Microsoft.Mashup.OleDb.1;Data Source=$Workbook$;Location=&quot;Table_1101_112_07&quot;;Extended Properties=&quot;&quot;" commandType="0"/>
  </connection>
  <connection id="832" xr16:uid="{FEE6FF0A-C1EE-4B27-AB72-ECEAF06A739F}" keepAlive="1" name="連線1746" type="5" refreshedVersion="0" background="1">
    <dbPr connection="Provider=Microsoft.Mashup.OleDb.1;Data Source=$Workbook$;Location=&quot;Table_2912_112_12&quot;;Extended Properties=&quot;&quot;" commandType="0"/>
  </connection>
  <connection id="833" xr16:uid="{E0CA359C-22C2-42EA-A254-55BBAAA18189}" keepAlive="1" name="連線1747" type="5" refreshedVersion="0" background="1">
    <dbPr connection="Provider=Microsoft.Mashup.OleDb.1;Data Source=$Workbook$;Location=&quot;Table_2912_112_10&quot;;Extended Properties=&quot;&quot;" commandType="0"/>
  </connection>
  <connection id="834" xr16:uid="{15009317-5F05-43DC-A6DB-64DF3EF3C83B}" keepAlive="1" name="連線1748" type="5" refreshedVersion="0" background="1">
    <dbPr connection="Provider=Microsoft.Mashup.OleDb.1;Data Source=$Workbook$;Location=&quot;Table_2912_112_07&quot;;Extended Properties=&quot;&quot;" commandType="0"/>
  </connection>
  <connection id="835" xr16:uid="{95395C96-05E4-4FA8-8B5A-47320B0A038E}" keepAlive="1" name="連線1749" type="5" refreshedVersion="0" background="1">
    <dbPr connection="Provider=Microsoft.Mashup.OleDb.1;Data Source=$Workbook$;Location=&quot;Table_2002_112_12&quot;;Extended Properties=&quot;&quot;" commandType="0"/>
  </connection>
  <connection id="836" xr16:uid="{4A13665D-E685-4079-A05A-06FF597EEB86}" keepAlive="1" name="連線175" type="5" refreshedVersion="0" background="1">
    <dbPr connection="Provider=Microsoft.Mashup.OleDb.1;Data Source=$Workbook$;Location=&quot;Table_1101_113_02&quot;;Extended Properties=&quot;&quot;" commandType="0"/>
  </connection>
  <connection id="837" xr16:uid="{DAE789B7-453E-4867-929B-66F3D7FEAE39}" keepAlive="1" name="連線1750" type="5" refreshedVersion="0" background="1">
    <dbPr connection="Provider=Microsoft.Mashup.OleDb.1;Data Source=$Workbook$;Location=&quot;Table_2002_112_10&quot;;Extended Properties=&quot;&quot;" commandType="0"/>
  </connection>
  <connection id="838" xr16:uid="{2FB6B9D2-C710-47FC-A129-858C8EF9D9A1}" keepAlive="1" name="連線1751" type="5" refreshedVersion="0" background="1">
    <dbPr connection="Provider=Microsoft.Mashup.OleDb.1;Data Source=$Workbook$;Location=&quot;Table_2002_112_07&quot;;Extended Properties=&quot;&quot;" commandType="0"/>
  </connection>
  <connection id="839" xr16:uid="{0427F370-4BC6-4855-9C36-F457EE11F570}" keepAlive="1" name="連線1752" type="5" refreshedVersion="0" background="1">
    <dbPr connection="Provider=Microsoft.Mashup.OleDb.1;Data Source=$Workbook$;Location=&quot;Table_2882_112_12&quot;;Extended Properties=&quot;&quot;" commandType="0"/>
  </connection>
  <connection id="840" xr16:uid="{A5B58951-CBD4-4899-95E3-DF6E581E1046}" keepAlive="1" name="連線1753" type="5" refreshedVersion="0" background="1">
    <dbPr connection="Provider=Microsoft.Mashup.OleDb.1;Data Source=$Workbook$;Location=&quot;Table_2882_112_10&quot;;Extended Properties=&quot;&quot;" commandType="0"/>
  </connection>
  <connection id="841" xr16:uid="{6AF9B582-9EC7-4328-AE7C-8991A850C5E0}" keepAlive="1" name="連線1754" type="5" refreshedVersion="0" background="1">
    <dbPr connection="Provider=Microsoft.Mashup.OleDb.1;Data Source=$Workbook$;Location=&quot;Table_2882_112_07&quot;;Extended Properties=&quot;&quot;" commandType="0"/>
  </connection>
  <connection id="842" xr16:uid="{3939F518-51B6-40FB-A69E-697482FD9124}" keepAlive="1" name="連線1755" type="5" refreshedVersion="0" background="1">
    <dbPr connection="Provider=Microsoft.Mashup.OleDb.1;Data Source=$Workbook$;Location=&quot;Table_00878_112_12&quot;;Extended Properties=&quot;&quot;" commandType="0"/>
  </connection>
  <connection id="843" xr16:uid="{D7137F18-0C07-4374-A7F2-9D2146BBAC1A}" keepAlive="1" name="連線1756" type="5" refreshedVersion="0" background="1">
    <dbPr connection="Provider=Microsoft.Mashup.OleDb.1;Data Source=$Workbook$;Location=&quot;Table_00878_112_10&quot;;Extended Properties=&quot;&quot;" commandType="0"/>
  </connection>
  <connection id="844" xr16:uid="{51A6C43D-20F4-4B8C-AF53-3D41BADAC09D}" keepAlive="1" name="連線1757" type="5" refreshedVersion="0" background="1">
    <dbPr connection="Provider=Microsoft.Mashup.OleDb.1;Data Source=$Workbook$;Location=&quot;Table_00878_112_07&quot;;Extended Properties=&quot;&quot;" commandType="0"/>
  </connection>
  <connection id="845" xr16:uid="{2E519B30-0747-4273-B540-7D4D9EE89746}" keepAlive="1" name="連線1758" type="5" refreshedVersion="0" background="1">
    <dbPr connection="Provider=Microsoft.Mashup.OleDb.1;Data Source=$Workbook$;Location=&quot;Table_1101_112_12&quot;;Extended Properties=&quot;&quot;" commandType="0"/>
  </connection>
  <connection id="846" xr16:uid="{3CD49F24-6CB2-466C-B168-D092CE1130B8}" keepAlive="1" name="連線1759" type="5" refreshedVersion="0" background="1">
    <dbPr connection="Provider=Microsoft.Mashup.OleDb.1;Data Source=$Workbook$;Location=&quot;Table_1101_112_10&quot;;Extended Properties=&quot;&quot;" commandType="0"/>
  </connection>
  <connection id="847" xr16:uid="{5DF6066E-D16C-486A-A7E4-E1727B770D26}" keepAlive="1" name="連線176" type="5" refreshedVersion="0" background="1">
    <dbPr connection="Provider=Microsoft.Mashup.OleDb.1;Data Source=$Workbook$;Location=&quot;Table_1101_113_03&quot;;Extended Properties=&quot;&quot;" commandType="0"/>
  </connection>
  <connection id="848" xr16:uid="{BF6A5233-D9E9-41CE-A45D-483761DBC343}" keepAlive="1" name="連線1760" type="5" refreshedVersion="0" background="1">
    <dbPr connection="Provider=Microsoft.Mashup.OleDb.1;Data Source=$Workbook$;Location=&quot;Table_1101_112_07&quot;;Extended Properties=&quot;&quot;" commandType="0"/>
  </connection>
  <connection id="849" xr16:uid="{FE9C41DF-C54E-44C7-B585-1ACEE76F9B6E}" keepAlive="1" name="連線1761" type="5" refreshedVersion="0" background="1">
    <dbPr connection="Provider=Microsoft.Mashup.OleDb.1;Data Source=$Workbook$;Location=&quot;Table_2912_112_12&quot;;Extended Properties=&quot;&quot;" commandType="0"/>
  </connection>
  <connection id="850" xr16:uid="{15AA52BA-2671-4BDC-877A-7E4C723F6A5C}" keepAlive="1" name="連線1762" type="5" refreshedVersion="0" background="1">
    <dbPr connection="Provider=Microsoft.Mashup.OleDb.1;Data Source=$Workbook$;Location=&quot;Table_2912_112_10&quot;;Extended Properties=&quot;&quot;" commandType="0"/>
  </connection>
  <connection id="851" xr16:uid="{12C5AC33-47B8-4843-BDC5-E6863FFFD079}" keepAlive="1" name="連線1763" type="5" refreshedVersion="0" background="1">
    <dbPr connection="Provider=Microsoft.Mashup.OleDb.1;Data Source=$Workbook$;Location=&quot;Table_2912_112_07&quot;;Extended Properties=&quot;&quot;" commandType="0"/>
  </connection>
  <connection id="852" xr16:uid="{A6797DDE-B1EE-4F59-B063-ECFE11149009}" keepAlive="1" name="連線1764" type="5" refreshedVersion="0" background="1">
    <dbPr connection="Provider=Microsoft.Mashup.OleDb.1;Data Source=$Workbook$;Location=&quot;Table_2002_112_12&quot;;Extended Properties=&quot;&quot;" commandType="0"/>
  </connection>
  <connection id="853" xr16:uid="{E79A2972-F9CB-4F93-8218-5AC30FCC4952}" keepAlive="1" name="連線1765" type="5" refreshedVersion="0" background="1">
    <dbPr connection="Provider=Microsoft.Mashup.OleDb.1;Data Source=$Workbook$;Location=&quot;Table_2002_112_10&quot;;Extended Properties=&quot;&quot;" commandType="0"/>
  </connection>
  <connection id="854" xr16:uid="{97AEABC7-354D-4708-B387-91D75A9DD79A}" keepAlive="1" name="連線1766" type="5" refreshedVersion="0" background="1">
    <dbPr connection="Provider=Microsoft.Mashup.OleDb.1;Data Source=$Workbook$;Location=&quot;Table_2002_112_07&quot;;Extended Properties=&quot;&quot;" commandType="0"/>
  </connection>
  <connection id="855" xr16:uid="{B510E389-6924-4B24-9FB0-40EF37B80FAB}" keepAlive="1" name="連線1767" type="5" refreshedVersion="0" background="1">
    <dbPr connection="Provider=Microsoft.Mashup.OleDb.1;Data Source=$Workbook$;Location=&quot;Table_2882_112_12&quot;;Extended Properties=&quot;&quot;" commandType="0"/>
  </connection>
  <connection id="856" xr16:uid="{85293FE8-53EF-4159-8A4C-7EF25C9066BE}" keepAlive="1" name="連線1768" type="5" refreshedVersion="0" background="1">
    <dbPr connection="Provider=Microsoft.Mashup.OleDb.1;Data Source=$Workbook$;Location=&quot;Table_2882_112_10&quot;;Extended Properties=&quot;&quot;" commandType="0"/>
  </connection>
  <connection id="857" xr16:uid="{6C961241-9D18-45AD-BAB9-6EDAE3D0E966}" keepAlive="1" name="連線1769" type="5" refreshedVersion="0" background="1">
    <dbPr connection="Provider=Microsoft.Mashup.OleDb.1;Data Source=$Workbook$;Location=&quot;Table_2882_112_07&quot;;Extended Properties=&quot;&quot;" commandType="0"/>
  </connection>
  <connection id="858" xr16:uid="{D0E80822-3B54-44EE-B40E-CE625D55C1D1}" keepAlive="1" name="連線177" type="5" refreshedVersion="0" background="1">
    <dbPr connection="Provider=Microsoft.Mashup.OleDb.1;Data Source=$Workbook$;Location=&quot;Table_2330_113_01&quot;;Extended Properties=&quot;&quot;" commandType="0"/>
  </connection>
  <connection id="859" xr16:uid="{686C55D0-07C9-4682-B12E-74BCA8BF805D}" keepAlive="1" name="連線1770" type="5" refreshedVersion="0" background="1">
    <dbPr connection="Provider=Microsoft.Mashup.OleDb.1;Data Source=$Workbook$;Location=&quot;Table_00878_112_12&quot;;Extended Properties=&quot;&quot;" commandType="0"/>
  </connection>
  <connection id="860" xr16:uid="{C5B75557-966B-4ECC-ADAC-097797802864}" keepAlive="1" name="連線1771" type="5" refreshedVersion="0" background="1">
    <dbPr connection="Provider=Microsoft.Mashup.OleDb.1;Data Source=$Workbook$;Location=&quot;Table_00878_112_10&quot;;Extended Properties=&quot;&quot;" commandType="0"/>
  </connection>
  <connection id="861" xr16:uid="{0FFF7D05-E3F2-457F-9111-5B5EADFF4853}" keepAlive="1" name="連線1772" type="5" refreshedVersion="0" background="1">
    <dbPr connection="Provider=Microsoft.Mashup.OleDb.1;Data Source=$Workbook$;Location=&quot;Table_00878_112_07&quot;;Extended Properties=&quot;&quot;" commandType="0"/>
  </connection>
  <connection id="862" xr16:uid="{DC6A8E6B-8E3F-42D8-9D5F-C37CCCA43175}" keepAlive="1" name="連線1773" type="5" refreshedVersion="0" background="1">
    <dbPr connection="Provider=Microsoft.Mashup.OleDb.1;Data Source=$Workbook$;Location=&quot;Table_1101_112_12&quot;;Extended Properties=&quot;&quot;" commandType="0"/>
  </connection>
  <connection id="863" xr16:uid="{960CE392-04E0-4FA2-972E-13190C792DA3}" keepAlive="1" name="連線1774" type="5" refreshedVersion="0" background="1">
    <dbPr connection="Provider=Microsoft.Mashup.OleDb.1;Data Source=$Workbook$;Location=&quot;Table_1101_112_10&quot;;Extended Properties=&quot;&quot;" commandType="0"/>
  </connection>
  <connection id="864" xr16:uid="{389B6FAE-F9BD-4F74-BF35-2EE83772E760}" keepAlive="1" name="連線1775" type="5" refreshedVersion="0" background="1">
    <dbPr connection="Provider=Microsoft.Mashup.OleDb.1;Data Source=$Workbook$;Location=&quot;Table_1101_112_07&quot;;Extended Properties=&quot;&quot;" commandType="0"/>
  </connection>
  <connection id="865" xr16:uid="{97D54EF4-9BD7-45F0-8C45-A6C0D4EA8010}" keepAlive="1" name="連線1776" type="5" refreshedVersion="0" background="1">
    <dbPr connection="Provider=Microsoft.Mashup.OleDb.1;Data Source=$Workbook$;Location=&quot;Table_2912_112_12&quot;;Extended Properties=&quot;&quot;" commandType="0"/>
  </connection>
  <connection id="866" xr16:uid="{FEFA5A5B-618A-41E9-B0B6-B5A3485DDDE1}" keepAlive="1" name="連線1777" type="5" refreshedVersion="0" background="1">
    <dbPr connection="Provider=Microsoft.Mashup.OleDb.1;Data Source=$Workbook$;Location=&quot;Table_2912_112_10&quot;;Extended Properties=&quot;&quot;" commandType="0"/>
  </connection>
  <connection id="867" xr16:uid="{AC81F394-B2B7-4BA0-AD85-A2CBB1D638FB}" keepAlive="1" name="連線1778" type="5" refreshedVersion="0" background="1">
    <dbPr connection="Provider=Microsoft.Mashup.OleDb.1;Data Source=$Workbook$;Location=&quot;Table_2912_112_07&quot;;Extended Properties=&quot;&quot;" commandType="0"/>
  </connection>
  <connection id="868" xr16:uid="{F841B9DB-EADC-42A2-9292-991621B5A7E0}" keepAlive="1" name="連線1779" type="5" refreshedVersion="0" background="1">
    <dbPr connection="Provider=Microsoft.Mashup.OleDb.1;Data Source=$Workbook$;Location=&quot;Table_2002_112_12&quot;;Extended Properties=&quot;&quot;" commandType="0"/>
  </connection>
  <connection id="869" xr16:uid="{2B1E5E77-DAB5-4FD6-96B3-B6B305A4E7E3}" keepAlive="1" name="連線178" type="5" refreshedVersion="0" background="1">
    <dbPr connection="Provider=Microsoft.Mashup.OleDb.1;Data Source=$Workbook$;Location=&quot;Table_2330_113_02&quot;;Extended Properties=&quot;&quot;" commandType="0"/>
  </connection>
  <connection id="870" xr16:uid="{F2BEB347-F6D3-4B77-B0F9-B9DA6566B9C5}" keepAlive="1" name="連線1780" type="5" refreshedVersion="0" background="1">
    <dbPr connection="Provider=Microsoft.Mashup.OleDb.1;Data Source=$Workbook$;Location=&quot;Table_2002_112_10&quot;;Extended Properties=&quot;&quot;" commandType="0"/>
  </connection>
  <connection id="871" xr16:uid="{68045F30-8AF2-4F7F-8219-3062F454DEC1}" keepAlive="1" name="連線1781" type="5" refreshedVersion="0" background="1">
    <dbPr connection="Provider=Microsoft.Mashup.OleDb.1;Data Source=$Workbook$;Location=&quot;Table_2002_112_07&quot;;Extended Properties=&quot;&quot;" commandType="0"/>
  </connection>
  <connection id="872" xr16:uid="{1624DA66-58E5-44AE-9449-5EBAA9FFAB24}" keepAlive="1" name="連線1782" type="5" refreshedVersion="0" background="1">
    <dbPr connection="Provider=Microsoft.Mashup.OleDb.1;Data Source=$Workbook$;Location=&quot;Table_2882_112_12&quot;;Extended Properties=&quot;&quot;" commandType="0"/>
  </connection>
  <connection id="873" xr16:uid="{377D328D-5036-4CB7-90D6-A41518C10274}" keepAlive="1" name="連線1783" type="5" refreshedVersion="0" background="1">
    <dbPr connection="Provider=Microsoft.Mashup.OleDb.1;Data Source=$Workbook$;Location=&quot;Table_2882_112_10&quot;;Extended Properties=&quot;&quot;" commandType="0"/>
  </connection>
  <connection id="874" xr16:uid="{37EAE4EA-F60C-4BF1-B0A7-C69A2B9CD9BC}" keepAlive="1" name="連線1784" type="5" refreshedVersion="0" background="1">
    <dbPr connection="Provider=Microsoft.Mashup.OleDb.1;Data Source=$Workbook$;Location=&quot;Table_2882_112_07&quot;;Extended Properties=&quot;&quot;" commandType="0"/>
  </connection>
  <connection id="875" xr16:uid="{96243320-705C-4398-85A5-CC394759A170}" keepAlive="1" name="連線1785" type="5" refreshedVersion="0" background="1">
    <dbPr connection="Provider=Microsoft.Mashup.OleDb.1;Data Source=$Workbook$;Location=&quot;Table_00878_112_12&quot;;Extended Properties=&quot;&quot;" commandType="0"/>
  </connection>
  <connection id="876" xr16:uid="{0EDBD259-8E08-497B-BB4B-8254A7AB9FDE}" keepAlive="1" name="連線1786" type="5" refreshedVersion="0" background="1">
    <dbPr connection="Provider=Microsoft.Mashup.OleDb.1;Data Source=$Workbook$;Location=&quot;Table_00878_112_10&quot;;Extended Properties=&quot;&quot;" commandType="0"/>
  </connection>
  <connection id="877" xr16:uid="{228BCCC0-DE20-4C6F-AE15-588D698D5E86}" keepAlive="1" name="連線1787" type="5" refreshedVersion="0" background="1">
    <dbPr connection="Provider=Microsoft.Mashup.OleDb.1;Data Source=$Workbook$;Location=&quot;Table_00878_112_07&quot;;Extended Properties=&quot;&quot;" commandType="0"/>
  </connection>
  <connection id="878" xr16:uid="{9FD9C92F-196E-4E2F-95EF-B99613176A1E}" keepAlive="1" name="連線1788" type="5" refreshedVersion="0" background="1">
    <dbPr connection="Provider=Microsoft.Mashup.OleDb.1;Data Source=$Workbook$;Location=&quot;Table_1101_112_12&quot;;Extended Properties=&quot;&quot;" commandType="0"/>
  </connection>
  <connection id="879" xr16:uid="{A3B31909-6DB7-4015-B878-ECFD07D6E7A0}" keepAlive="1" name="連線1789" type="5" refreshedVersion="0" background="1">
    <dbPr connection="Provider=Microsoft.Mashup.OleDb.1;Data Source=$Workbook$;Location=&quot;Table_1101_112_10&quot;;Extended Properties=&quot;&quot;" commandType="0"/>
  </connection>
  <connection id="880" xr16:uid="{3A422E07-F299-481E-906B-8F899F89FF97}" keepAlive="1" name="連線179" type="5" refreshedVersion="0" background="1">
    <dbPr connection="Provider=Microsoft.Mashup.OleDb.1;Data Source=$Workbook$;Location=&quot;Table_2330_113_03&quot;;Extended Properties=&quot;&quot;" commandType="0"/>
  </connection>
  <connection id="881" xr16:uid="{EE15D5A4-6A66-4055-BF40-E3B46953B5F8}" keepAlive="1" name="連線1790" type="5" refreshedVersion="0" background="1">
    <dbPr connection="Provider=Microsoft.Mashup.OleDb.1;Data Source=$Workbook$;Location=&quot;Table_1101_112_07&quot;;Extended Properties=&quot;&quot;" commandType="0"/>
  </connection>
  <connection id="882" xr16:uid="{507BBC36-9E8D-487D-B6DE-6B8FE1667B67}" keepAlive="1" name="連線1791" type="5" refreshedVersion="0" background="1">
    <dbPr connection="Provider=Microsoft.Mashup.OleDb.1;Data Source=$Workbook$;Location=&quot;Table_2912_112_12&quot;;Extended Properties=&quot;&quot;" commandType="0"/>
  </connection>
  <connection id="883" xr16:uid="{8004D2E4-10AD-4B0B-9C00-3195F6499421}" keepAlive="1" name="連線1792" type="5" refreshedVersion="0" background="1">
    <dbPr connection="Provider=Microsoft.Mashup.OleDb.1;Data Source=$Workbook$;Location=&quot;Table_2912_112_10&quot;;Extended Properties=&quot;&quot;" commandType="0"/>
  </connection>
  <connection id="884" xr16:uid="{D1D8B5D4-40F6-48C7-9E9E-72B94658A853}" keepAlive="1" name="連線1793" type="5" refreshedVersion="0" background="1">
    <dbPr connection="Provider=Microsoft.Mashup.OleDb.1;Data Source=$Workbook$;Location=&quot;Table_2912_112_07&quot;;Extended Properties=&quot;&quot;" commandType="0"/>
  </connection>
  <connection id="885" xr16:uid="{EE65CD2F-A126-48A9-AD94-DD7D31FD5C16}" keepAlive="1" name="連線1794" type="5" refreshedVersion="0" background="1">
    <dbPr connection="Provider=Microsoft.Mashup.OleDb.1;Data Source=$Workbook$;Location=&quot;Table_2002_112_12&quot;;Extended Properties=&quot;&quot;" commandType="0"/>
  </connection>
  <connection id="886" xr16:uid="{7F807731-AC44-46B5-B9DA-CBB0B75511E7}" keepAlive="1" name="連線1795" type="5" refreshedVersion="0" background="1">
    <dbPr connection="Provider=Microsoft.Mashup.OleDb.1;Data Source=$Workbook$;Location=&quot;Table_2002_112_10&quot;;Extended Properties=&quot;&quot;" commandType="0"/>
  </connection>
  <connection id="887" xr16:uid="{421F9365-4D44-4AC5-A3F8-B2360C85A0DF}" keepAlive="1" name="連線1796" type="5" refreshedVersion="0" background="1">
    <dbPr connection="Provider=Microsoft.Mashup.OleDb.1;Data Source=$Workbook$;Location=&quot;Table_2002_112_07&quot;;Extended Properties=&quot;&quot;" commandType="0"/>
  </connection>
  <connection id="888" xr16:uid="{99AF5D82-ED9E-403D-AAB3-4ED6299BB5D3}" keepAlive="1" name="連線1797" type="5" refreshedVersion="0" background="1">
    <dbPr connection="Provider=Microsoft.Mashup.OleDb.1;Data Source=$Workbook$;Location=&quot;Table_2882_112_12&quot;;Extended Properties=&quot;&quot;" commandType="0"/>
  </connection>
  <connection id="889" xr16:uid="{A11B0C22-2F26-49D4-992D-CA2022835694}" keepAlive="1" name="連線1798" type="5" refreshedVersion="0" background="1">
    <dbPr connection="Provider=Microsoft.Mashup.OleDb.1;Data Source=$Workbook$;Location=&quot;Table_2882_112_10&quot;;Extended Properties=&quot;&quot;" commandType="0"/>
  </connection>
  <connection id="890" xr16:uid="{1695D85E-AFC0-49A4-9923-236F4D350FB8}" keepAlive="1" name="連線1799" type="5" refreshedVersion="0" background="1">
    <dbPr connection="Provider=Microsoft.Mashup.OleDb.1;Data Source=$Workbook$;Location=&quot;Table_2882_112_07&quot;;Extended Properties=&quot;&quot;" commandType="0"/>
  </connection>
  <connection id="891" xr16:uid="{6C0DAC00-8A54-4F30-89EE-0ECBE30CF04E}" keepAlive="1" name="連線18" type="5" refreshedVersion="0" background="1">
    <dbPr connection="Provider=Microsoft.Mashup.OleDb.1;Data Source=$Workbook$;Location=&quot;Table 6&quot;;Extended Properties=&quot;&quot;" commandType="0"/>
  </connection>
  <connection id="892" xr16:uid="{DC55D24A-35AF-4BF0-ABDF-D2B8B199847F}" keepAlive="1" name="連線180" type="5" refreshedVersion="0" background="1">
    <dbPr connection="Provider=Microsoft.Mashup.OleDb.1;Data Source=$Workbook$;Location=&quot;Table_2002_113_01&quot;;Extended Properties=&quot;&quot;" commandType="0"/>
  </connection>
  <connection id="893" xr16:uid="{4F2554E0-681F-48E8-83B1-4BC592C1C27A}" keepAlive="1" name="連線1800" type="5" refreshedVersion="0" background="1">
    <dbPr connection="Provider=Microsoft.Mashup.OleDb.1;Data Source=$Workbook$;Location=&quot;Table_00878_112_12&quot;;Extended Properties=&quot;&quot;" commandType="0"/>
  </connection>
  <connection id="894" xr16:uid="{2B52B7DE-091A-4DBC-95BD-4D4195D29315}" keepAlive="1" name="連線1801" type="5" refreshedVersion="0" background="1">
    <dbPr connection="Provider=Microsoft.Mashup.OleDb.1;Data Source=$Workbook$;Location=&quot;Table_00878_112_10&quot;;Extended Properties=&quot;&quot;" commandType="0"/>
  </connection>
  <connection id="895" xr16:uid="{889C787A-8AAF-4C76-9ABF-D5553A8E6E50}" keepAlive="1" name="連線1802" type="5" refreshedVersion="0" background="1">
    <dbPr connection="Provider=Microsoft.Mashup.OleDb.1;Data Source=$Workbook$;Location=&quot;Table_00878_112_07&quot;;Extended Properties=&quot;&quot;" commandType="0"/>
  </connection>
  <connection id="896" xr16:uid="{4A9A172C-6AB2-45E5-AEFD-2B163FE5180E}" keepAlive="1" name="連線1803" type="5" refreshedVersion="0" background="1">
    <dbPr connection="Provider=Microsoft.Mashup.OleDb.1;Data Source=$Workbook$;Location=&quot;Table_1101_112_12&quot;;Extended Properties=&quot;&quot;" commandType="0"/>
  </connection>
  <connection id="897" xr16:uid="{7401BCF8-FD01-47F3-B1A3-BBD5B580C6F7}" keepAlive="1" name="連線1804" type="5" refreshedVersion="0" background="1">
    <dbPr connection="Provider=Microsoft.Mashup.OleDb.1;Data Source=$Workbook$;Location=&quot;Table_1101_112_10&quot;;Extended Properties=&quot;&quot;" commandType="0"/>
  </connection>
  <connection id="898" xr16:uid="{31BC1AB1-D6BE-48DA-9407-3EC17C33BD4E}" keepAlive="1" name="連線1805" type="5" refreshedVersion="0" background="1">
    <dbPr connection="Provider=Microsoft.Mashup.OleDb.1;Data Source=$Workbook$;Location=&quot;Table_1101_112_07&quot;;Extended Properties=&quot;&quot;" commandType="0"/>
  </connection>
  <connection id="899" xr16:uid="{F581762D-66A5-4490-8530-BC36FC5C9E34}" keepAlive="1" name="連線1806" type="5" refreshedVersion="0" background="1">
    <dbPr connection="Provider=Microsoft.Mashup.OleDb.1;Data Source=$Workbook$;Location=&quot;Table_2912_112_12&quot;;Extended Properties=&quot;&quot;" commandType="0"/>
  </connection>
  <connection id="900" xr16:uid="{61F653F9-8BF4-4839-838B-0087181192AC}" keepAlive="1" name="連線1807" type="5" refreshedVersion="0" background="1">
    <dbPr connection="Provider=Microsoft.Mashup.OleDb.1;Data Source=$Workbook$;Location=&quot;Table_2912_112_10&quot;;Extended Properties=&quot;&quot;" commandType="0"/>
  </connection>
  <connection id="901" xr16:uid="{2DABEA4D-40D0-4E09-98F6-CD3F81987D07}" keepAlive="1" name="連線1808" type="5" refreshedVersion="0" background="1">
    <dbPr connection="Provider=Microsoft.Mashup.OleDb.1;Data Source=$Workbook$;Location=&quot;Table_2912_112_07&quot;;Extended Properties=&quot;&quot;" commandType="0"/>
  </connection>
  <connection id="902" xr16:uid="{00C16389-37B2-45EA-8813-3B472CEB262F}" keepAlive="1" name="連線1809" type="5" refreshedVersion="0" background="1">
    <dbPr connection="Provider=Microsoft.Mashup.OleDb.1;Data Source=$Workbook$;Location=&quot;Table_2002_112_12&quot;;Extended Properties=&quot;&quot;" commandType="0"/>
  </connection>
  <connection id="903" xr16:uid="{D8A1E769-6646-4EB2-9CBB-380E41DC0BAB}" keepAlive="1" name="連線181" type="5" refreshedVersion="0" background="1">
    <dbPr connection="Provider=Microsoft.Mashup.OleDb.1;Data Source=$Workbook$;Location=&quot;Table_2002_113_02&quot;;Extended Properties=&quot;&quot;" commandType="0"/>
  </connection>
  <connection id="904" xr16:uid="{95A7EA37-8284-416F-91EC-8A00F60FB3F1}" keepAlive="1" name="連線1810" type="5" refreshedVersion="0" background="1">
    <dbPr connection="Provider=Microsoft.Mashup.OleDb.1;Data Source=$Workbook$;Location=&quot;Table_2002_112_10&quot;;Extended Properties=&quot;&quot;" commandType="0"/>
  </connection>
  <connection id="905" xr16:uid="{7125845B-A3A1-4251-B652-29A49013D962}" keepAlive="1" name="連線1811" type="5" refreshedVersion="0" background="1">
    <dbPr connection="Provider=Microsoft.Mashup.OleDb.1;Data Source=$Workbook$;Location=&quot;Table_2002_112_07&quot;;Extended Properties=&quot;&quot;" commandType="0"/>
  </connection>
  <connection id="906" xr16:uid="{D23C8068-39AC-46E7-8A0B-F646419D3B38}" keepAlive="1" name="連線1812" type="5" refreshedVersion="0" background="1">
    <dbPr connection="Provider=Microsoft.Mashup.OleDb.1;Data Source=$Workbook$;Location=&quot;Table_2882_112_12&quot;;Extended Properties=&quot;&quot;" commandType="0"/>
  </connection>
  <connection id="907" xr16:uid="{957B554C-7A53-4AC2-93BB-D64F8263E34A}" keepAlive="1" name="連線1813" type="5" refreshedVersion="0" background="1">
    <dbPr connection="Provider=Microsoft.Mashup.OleDb.1;Data Source=$Workbook$;Location=&quot;Table_2882_112_10&quot;;Extended Properties=&quot;&quot;" commandType="0"/>
  </connection>
  <connection id="908" xr16:uid="{FE6D79ED-676E-44D1-9ED0-10BEF16EE6FA}" keepAlive="1" name="連線1814" type="5" refreshedVersion="0" background="1">
    <dbPr connection="Provider=Microsoft.Mashup.OleDb.1;Data Source=$Workbook$;Location=&quot;Table_2882_112_07&quot;;Extended Properties=&quot;&quot;" commandType="0"/>
  </connection>
  <connection id="909" xr16:uid="{191740AD-78B5-4E41-8081-B5B3F6522400}" keepAlive="1" name="連線1815" type="5" refreshedVersion="0" background="1">
    <dbPr connection="Provider=Microsoft.Mashup.OleDb.1;Data Source=$Workbook$;Location=&quot;Table_00878_112_12&quot;;Extended Properties=&quot;&quot;" commandType="0"/>
  </connection>
  <connection id="910" xr16:uid="{837BB68C-D2D9-4057-B509-1CF52F1B674C}" keepAlive="1" name="連線1816" type="5" refreshedVersion="0" background="1">
    <dbPr connection="Provider=Microsoft.Mashup.OleDb.1;Data Source=$Workbook$;Location=&quot;Table_00878_112_10&quot;;Extended Properties=&quot;&quot;" commandType="0"/>
  </connection>
  <connection id="911" xr16:uid="{50EF9716-A85B-4974-8E26-332270A96CC1}" keepAlive="1" name="連線1817" type="5" refreshedVersion="0" background="1">
    <dbPr connection="Provider=Microsoft.Mashup.OleDb.1;Data Source=$Workbook$;Location=&quot;Table_00878_112_07&quot;;Extended Properties=&quot;&quot;" commandType="0"/>
  </connection>
  <connection id="912" xr16:uid="{B48C0131-F662-402E-9225-2BDEE73AB7C6}" keepAlive="1" name="連線1818" type="5" refreshedVersion="0" background="1">
    <dbPr connection="Provider=Microsoft.Mashup.OleDb.1;Data Source=$Workbook$;Location=&quot;Table_00940_112_12&quot;;Extended Properties=&quot;&quot;" commandType="0"/>
  </connection>
  <connection id="913" xr16:uid="{257F03F6-E370-4748-8E40-EFF76FEFEA01}" keepAlive="1" name="連線1819" type="5" refreshedVersion="0" background="1">
    <dbPr connection="Provider=Microsoft.Mashup.OleDb.1;Data Source=$Workbook$;Location=&quot;Table_00940_112_10&quot;;Extended Properties=&quot;&quot;" commandType="0"/>
  </connection>
  <connection id="914" xr16:uid="{1CE79AC2-C3A4-4DBE-950C-7A38BD7F6001}" keepAlive="1" name="連線182" type="5" refreshedVersion="0" background="1">
    <dbPr connection="Provider=Microsoft.Mashup.OleDb.1;Data Source=$Workbook$;Location=&quot;Table_2002_113_03&quot;;Extended Properties=&quot;&quot;" commandType="0"/>
  </connection>
  <connection id="915" xr16:uid="{96FDBA13-7305-4155-8EE2-B9B0C95DE3BA}" keepAlive="1" name="連線1820" type="5" refreshedVersion="0" background="1">
    <dbPr connection="Provider=Microsoft.Mashup.OleDb.1;Data Source=$Workbook$;Location=&quot;Table_00940_112_07&quot;;Extended Properties=&quot;&quot;" commandType="0"/>
  </connection>
  <connection id="916" xr16:uid="{CA960140-417F-4B23-BFF9-3037D1014026}" keepAlive="1" name="連線1821" type="5" refreshedVersion="0" background="1">
    <dbPr connection="Provider=Microsoft.Mashup.OleDb.1;Data Source=$Workbook$;Location=&quot;Table_2330_112_09&quot;;Extended Properties=&quot;&quot;" commandType="0"/>
  </connection>
  <connection id="917" xr16:uid="{2C15155D-B089-409E-BC0B-3D215D358A93}" keepAlive="1" name="連線1822" type="5" refreshedVersion="0" background="1">
    <dbPr connection="Provider=Microsoft.Mashup.OleDb.1;Data Source=$Workbook$;Location=&quot;Table_2330_112_06&quot;;Extended Properties=&quot;&quot;" commandType="0"/>
  </connection>
  <connection id="918" xr16:uid="{56C8C455-8B1F-4847-8688-D5D688A8E3C3}" keepAlive="1" name="連線1823" type="5" refreshedVersion="0" background="1">
    <dbPr connection="Provider=Microsoft.Mashup.OleDb.1;Data Source=$Workbook$;Location=&quot;Table_2330_112_05&quot;;Extended Properties=&quot;&quot;" commandType="0"/>
  </connection>
  <connection id="919" xr16:uid="{3D379CD9-E667-485D-A0E5-D53C11852BD8}" keepAlive="1" name="連線1824" type="5" refreshedVersion="0" background="1">
    <dbPr connection="Provider=Microsoft.Mashup.OleDb.1;Data Source=$Workbook$;Location=&quot;Table_2002_112_04&quot;;Extended Properties=&quot;&quot;" commandType="0"/>
  </connection>
  <connection id="920" xr16:uid="{A5312313-BFE7-425E-98C7-C30D64248D53}" keepAlive="1" name="連線1825" type="5" refreshedVersion="0" background="1">
    <dbPr connection="Provider=Microsoft.Mashup.OleDb.1;Data Source=$Workbook$;Location=&quot;Table_2002_112_03&quot;;Extended Properties=&quot;&quot;" commandType="0"/>
  </connection>
  <connection id="921" xr16:uid="{865F3E68-002F-4F4B-BB7A-B03FA5F1D5B1}" keepAlive="1" name="連線1826" type="5" refreshedVersion="0" background="1">
    <dbPr connection="Provider=Microsoft.Mashup.OleDb.1;Data Source=$Workbook$;Location=&quot;Table_2002_112_02&quot;;Extended Properties=&quot;&quot;" commandType="0"/>
  </connection>
  <connection id="922" xr16:uid="{982DFCE1-AFB0-4BA7-AC02-5E4F66F26441}" keepAlive="1" name="連線1827" type="5" refreshedVersion="0" background="1">
    <dbPr connection="Provider=Microsoft.Mashup.OleDb.1;Data Source=$Workbook$;Location=&quot;Table_2882_112_10&quot;;Extended Properties=&quot;&quot;" commandType="0"/>
  </connection>
  <connection id="923" xr16:uid="{CC795E26-4842-42C9-A589-FE9DF8BC3764}" keepAlive="1" name="連線1828" type="5" refreshedVersion="0" background="1">
    <dbPr connection="Provider=Microsoft.Mashup.OleDb.1;Data Source=$Workbook$;Location=&quot;Table_2882_112_08&quot;;Extended Properties=&quot;&quot;" commandType="0"/>
  </connection>
  <connection id="924" xr16:uid="{0B5C77F1-1B34-4BD7-8F0F-C9386D1ACB37}" keepAlive="1" name="連線1829" type="5" refreshedVersion="0" background="1">
    <dbPr connection="Provider=Microsoft.Mashup.OleDb.1;Data Source=$Workbook$;Location=&quot;Table_2882_112_05&quot;;Extended Properties=&quot;&quot;" commandType="0"/>
  </connection>
  <connection id="925" xr16:uid="{84C4C1E7-BE6C-4B92-8510-14EE103CC40C}" keepAlive="1" name="連線183" type="5" refreshedVersion="0" background="1">
    <dbPr connection="Provider=Microsoft.Mashup.OleDb.1;Data Source=$Workbook$;Location=&quot;Table_投資組合比重__&quot;;Extended Properties=&quot;&quot;" commandType="0"/>
  </connection>
  <connection id="926" xr16:uid="{787FB908-7EE7-41AC-ABCF-E3EF1EB17EDA}" keepAlive="1" name="連線1830" type="5" refreshedVersion="0" background="1">
    <dbPr connection="Provider=Microsoft.Mashup.OleDb.1;Data Source=$Workbook$;Location=&quot;Table_00878_112_12&quot;;Extended Properties=&quot;&quot;" commandType="0"/>
  </connection>
  <connection id="927" xr16:uid="{57CF96C6-2B8D-470C-870E-C44E53DF10A3}" keepAlive="1" name="連線1831" type="5" refreshedVersion="0" background="1">
    <dbPr connection="Provider=Microsoft.Mashup.OleDb.1;Data Source=$Workbook$;Location=&quot;Table_00878_112_10&quot;;Extended Properties=&quot;&quot;" commandType="0"/>
  </connection>
  <connection id="928" xr16:uid="{F2573E20-A827-42BC-BB19-6C85AC356C95}" keepAlive="1" name="連線1832" type="5" refreshedVersion="0" background="1">
    <dbPr connection="Provider=Microsoft.Mashup.OleDb.1;Data Source=$Workbook$;Location=&quot;Table_00878_112_07&quot;;Extended Properties=&quot;&quot;" commandType="0"/>
  </connection>
  <connection id="929" xr16:uid="{A575DDC1-9AED-468D-8161-7F72655DD8DB}" keepAlive="1" name="連線1833" type="5" refreshedVersion="0" background="1">
    <dbPr connection="Provider=Microsoft.Mashup.OleDb.1;Data Source=$Workbook$;Location=&quot;Table_00940_112_12&quot;;Extended Properties=&quot;&quot;" commandType="0"/>
  </connection>
  <connection id="930" xr16:uid="{8E8BD4B8-F14B-4858-8AF1-13578E718A37}" keepAlive="1" name="連線1834" type="5" refreshedVersion="0" background="1">
    <dbPr connection="Provider=Microsoft.Mashup.OleDb.1;Data Source=$Workbook$;Location=&quot;Table_00940_112_10&quot;;Extended Properties=&quot;&quot;" commandType="0"/>
  </connection>
  <connection id="931" xr16:uid="{1E8D67B6-6B00-4F9A-A764-06F7E49EBA11}" keepAlive="1" name="連線1835" type="5" refreshedVersion="0" background="1">
    <dbPr connection="Provider=Microsoft.Mashup.OleDb.1;Data Source=$Workbook$;Location=&quot;Table_00940_112_07&quot;;Extended Properties=&quot;&quot;" commandType="0"/>
  </connection>
  <connection id="932" xr16:uid="{3C18821D-1541-47FC-849A-BB0EB1FBF9C8}" keepAlive="1" name="連線1836" type="5" refreshedVersion="0" background="1">
    <dbPr connection="Provider=Microsoft.Mashup.OleDb.1;Data Source=$Workbook$;Location=&quot;Table_2330_112_09&quot;;Extended Properties=&quot;&quot;" commandType="0"/>
  </connection>
  <connection id="933" xr16:uid="{F3BF55BF-8821-4033-A571-46B33818393B}" keepAlive="1" name="連線1837" type="5" refreshedVersion="0" background="1">
    <dbPr connection="Provider=Microsoft.Mashup.OleDb.1;Data Source=$Workbook$;Location=&quot;Table_2330_112_06&quot;;Extended Properties=&quot;&quot;" commandType="0"/>
  </connection>
  <connection id="934" xr16:uid="{AE724161-CEFF-4C76-9912-45C1AC141FFA}" keepAlive="1" name="連線1838" type="5" refreshedVersion="0" background="1">
    <dbPr connection="Provider=Microsoft.Mashup.OleDb.1;Data Source=$Workbook$;Location=&quot;Table_2330_112_05&quot;;Extended Properties=&quot;&quot;" commandType="0"/>
  </connection>
  <connection id="935" xr16:uid="{4AC50342-1BBA-453E-A893-35005120B34C}" keepAlive="1" name="連線1839" type="5" refreshedVersion="0" background="1">
    <dbPr connection="Provider=Microsoft.Mashup.OleDb.1;Data Source=$Workbook$;Location=&quot;Table_2002_112_04&quot;;Extended Properties=&quot;&quot;" commandType="0"/>
  </connection>
  <connection id="936" xr16:uid="{DCA2E256-3F70-4DDB-8588-F534809CCF37}" keepAlive="1" name="連線184" type="5" refreshedVersion="0" background="1">
    <dbPr connection="Provider=Microsoft.Mashup.OleDb.1;Data Source=$Workbook$;Location=&quot;Table_2330_113_01&quot;;Extended Properties=&quot;&quot;" commandType="0"/>
  </connection>
  <connection id="937" xr16:uid="{3140ED4B-8CD3-4137-9F53-7B30A34206A5}" keepAlive="1" name="連線1840" type="5" refreshedVersion="0" background="1">
    <dbPr connection="Provider=Microsoft.Mashup.OleDb.1;Data Source=$Workbook$;Location=&quot;Table_2002_112_03&quot;;Extended Properties=&quot;&quot;" commandType="0"/>
  </connection>
  <connection id="938" xr16:uid="{E9A38507-C31F-46E5-A81C-96D481C2B3A5}" keepAlive="1" name="連線1841" type="5" refreshedVersion="0" background="1">
    <dbPr connection="Provider=Microsoft.Mashup.OleDb.1;Data Source=$Workbook$;Location=&quot;Table_2002_112_02&quot;;Extended Properties=&quot;&quot;" commandType="0"/>
  </connection>
  <connection id="939" xr16:uid="{6DF6736B-4AAE-4D58-BC93-1FF4D0843E7D}" keepAlive="1" name="連線1842" type="5" refreshedVersion="0" background="1">
    <dbPr connection="Provider=Microsoft.Mashup.OleDb.1;Data Source=$Workbook$;Location=&quot;Table_2882_112_10&quot;;Extended Properties=&quot;&quot;" commandType="0"/>
  </connection>
  <connection id="940" xr16:uid="{2465F574-32EE-4534-BAC4-BF42C1F4830B}" keepAlive="1" name="連線1843" type="5" refreshedVersion="0" background="1">
    <dbPr connection="Provider=Microsoft.Mashup.OleDb.1;Data Source=$Workbook$;Location=&quot;Table_2882_112_08&quot;;Extended Properties=&quot;&quot;" commandType="0"/>
  </connection>
  <connection id="941" xr16:uid="{840BBC31-0021-460D-8BA7-DFCC4D98874D}" keepAlive="1" name="連線1844" type="5" refreshedVersion="0" background="1">
    <dbPr connection="Provider=Microsoft.Mashup.OleDb.1;Data Source=$Workbook$;Location=&quot;Table_2882_112_05&quot;;Extended Properties=&quot;&quot;" commandType="0"/>
  </connection>
  <connection id="942" xr16:uid="{68DA21D5-EFCD-4D2D-80E2-067E1B4A394B}" keepAlive="1" name="連線1845" type="5" refreshedVersion="0" background="1">
    <dbPr connection="Provider=Microsoft.Mashup.OleDb.1;Data Source=$Workbook$;Location=&quot;Table_00878_112_12&quot;;Extended Properties=&quot;&quot;" commandType="0"/>
  </connection>
  <connection id="943" xr16:uid="{34D1EA58-E072-48D4-B342-C3D5AFF96679}" keepAlive="1" name="連線1846" type="5" refreshedVersion="0" background="1">
    <dbPr connection="Provider=Microsoft.Mashup.OleDb.1;Data Source=$Workbook$;Location=&quot;Table_00878_112_10&quot;;Extended Properties=&quot;&quot;" commandType="0"/>
  </connection>
  <connection id="944" xr16:uid="{C582BA01-CBE9-4E71-B865-635A9B3EC2ED}" keepAlive="1" name="連線1847" type="5" refreshedVersion="0" background="1">
    <dbPr connection="Provider=Microsoft.Mashup.OleDb.1;Data Source=$Workbook$;Location=&quot;Table_00878_112_07&quot;;Extended Properties=&quot;&quot;" commandType="0"/>
  </connection>
  <connection id="945" xr16:uid="{83908EE7-02B5-42AC-B9EE-250C79FBE7A4}" keepAlive="1" name="連線1848" type="5" refreshedVersion="0" background="1">
    <dbPr connection="Provider=Microsoft.Mashup.OleDb.1;Data Source=$Workbook$;Location=&quot;Table_00919_112_12&quot;;Extended Properties=&quot;&quot;" commandType="0"/>
  </connection>
  <connection id="946" xr16:uid="{54BFAAB7-23AB-42AB-899F-C87706D9835B}" keepAlive="1" name="連線1849" type="5" refreshedVersion="0" background="1">
    <dbPr connection="Provider=Microsoft.Mashup.OleDb.1;Data Source=$Workbook$;Location=&quot;Table_00919_112_10&quot;;Extended Properties=&quot;&quot;" commandType="0"/>
  </connection>
  <connection id="947" xr16:uid="{6B027986-77EC-4546-B050-3AC4EB5C2BFF}" keepAlive="1" name="連線185" type="5" refreshedVersion="0" background="1">
    <dbPr connection="Provider=Microsoft.Mashup.OleDb.1;Data Source=$Workbook$;Location=&quot;Table_2330_113_02&quot;;Extended Properties=&quot;&quot;" commandType="0"/>
  </connection>
  <connection id="948" xr16:uid="{BDFBBB4C-62F4-4B5C-BED4-E62D1B99FDB2}" keepAlive="1" name="連線1850" type="5" refreshedVersion="0" background="1">
    <dbPr connection="Provider=Microsoft.Mashup.OleDb.1;Data Source=$Workbook$;Location=&quot;Table_00919_112_07&quot;;Extended Properties=&quot;&quot;" commandType="0"/>
  </connection>
  <connection id="949" xr16:uid="{CABC4B43-87CA-4B82-85E2-8D88E1BF6C00}" keepAlive="1" name="連線1851" type="5" refreshedVersion="0" background="1">
    <dbPr connection="Provider=Microsoft.Mashup.OleDb.1;Data Source=$Workbook$;Location=&quot;Table_2330_112_09&quot;;Extended Properties=&quot;&quot;" commandType="0"/>
  </connection>
  <connection id="950" xr16:uid="{F27C26ED-D158-49CA-B763-7833B33F70C6}" keepAlive="1" name="連線1852" type="5" refreshedVersion="0" background="1">
    <dbPr connection="Provider=Microsoft.Mashup.OleDb.1;Data Source=$Workbook$;Location=&quot;Table_2330_112_06&quot;;Extended Properties=&quot;&quot;" commandType="0"/>
  </connection>
  <connection id="951" xr16:uid="{20F450F9-1A95-48B0-8791-67412156F501}" keepAlive="1" name="連線1853" type="5" refreshedVersion="0" background="1">
    <dbPr connection="Provider=Microsoft.Mashup.OleDb.1;Data Source=$Workbook$;Location=&quot;Table_2330_112_05&quot;;Extended Properties=&quot;&quot;" commandType="0"/>
  </connection>
  <connection id="952" xr16:uid="{AC31E7EC-6AE0-452A-9DC8-6BF7DF7A7ADB}" keepAlive="1" name="連線1854" type="5" refreshedVersion="0" background="1">
    <dbPr connection="Provider=Microsoft.Mashup.OleDb.1;Data Source=$Workbook$;Location=&quot;Table_2002_112_04&quot;;Extended Properties=&quot;&quot;" commandType="0"/>
  </connection>
  <connection id="953" xr16:uid="{74923BE2-B920-4B02-8960-6D6BCD7FEBCC}" keepAlive="1" name="連線1855" type="5" refreshedVersion="0" background="1">
    <dbPr connection="Provider=Microsoft.Mashup.OleDb.1;Data Source=$Workbook$;Location=&quot;Table_2002_112_03&quot;;Extended Properties=&quot;&quot;" commandType="0"/>
  </connection>
  <connection id="954" xr16:uid="{2FABE858-4750-4F3A-A86B-50E38BBED2F9}" keepAlive="1" name="連線1856" type="5" refreshedVersion="0" background="1">
    <dbPr connection="Provider=Microsoft.Mashup.OleDb.1;Data Source=$Workbook$;Location=&quot;Table_2002_112_02&quot;;Extended Properties=&quot;&quot;" commandType="0"/>
  </connection>
  <connection id="955" xr16:uid="{07F46538-56AA-4863-86B3-790B89C29678}" keepAlive="1" name="連線1857" type="5" refreshedVersion="0" background="1">
    <dbPr connection="Provider=Microsoft.Mashup.OleDb.1;Data Source=$Workbook$;Location=&quot;Table_2882_112_10&quot;;Extended Properties=&quot;&quot;" commandType="0"/>
  </connection>
  <connection id="956" xr16:uid="{2ADF1C7F-0FF7-49D8-BDA8-46677340D221}" keepAlive="1" name="連線1858" type="5" refreshedVersion="0" background="1">
    <dbPr connection="Provider=Microsoft.Mashup.OleDb.1;Data Source=$Workbook$;Location=&quot;Table_2882_112_08&quot;;Extended Properties=&quot;&quot;" commandType="0"/>
  </connection>
  <connection id="957" xr16:uid="{F7D8A8BF-DDD7-4B96-9EC4-81AEAB350F6C}" keepAlive="1" name="連線1859" type="5" refreshedVersion="0" background="1">
    <dbPr connection="Provider=Microsoft.Mashup.OleDb.1;Data Source=$Workbook$;Location=&quot;Table_2882_112_05&quot;;Extended Properties=&quot;&quot;" commandType="0"/>
  </connection>
  <connection id="958" xr16:uid="{E1261FBE-01C0-41B0-970E-40EA0B61DB1C}" keepAlive="1" name="連線186" type="5" refreshedVersion="0" background="1">
    <dbPr connection="Provider=Microsoft.Mashup.OleDb.1;Data Source=$Workbook$;Location=&quot;Table_2330_113_03&quot;;Extended Properties=&quot;&quot;" commandType="0"/>
  </connection>
  <connection id="959" xr16:uid="{817817FC-6739-4D81-BD53-F1524B6D36F4}" keepAlive="1" name="連線1860" type="5" refreshedVersion="0" background="1">
    <dbPr connection="Provider=Microsoft.Mashup.OleDb.1;Data Source=$Workbook$;Location=&quot;Table_00878_112_12&quot;;Extended Properties=&quot;&quot;" commandType="0"/>
  </connection>
  <connection id="960" xr16:uid="{57456977-E53B-4F29-9FA8-D890C1925224}" keepAlive="1" name="連線1861" type="5" refreshedVersion="0" background="1">
    <dbPr connection="Provider=Microsoft.Mashup.OleDb.1;Data Source=$Workbook$;Location=&quot;Table_00878_112_10&quot;;Extended Properties=&quot;&quot;" commandType="0"/>
  </connection>
  <connection id="961" xr16:uid="{3E217630-5B73-4CA5-87D9-7495C57F3973}" keepAlive="1" name="連線1862" type="5" refreshedVersion="0" background="1">
    <dbPr connection="Provider=Microsoft.Mashup.OleDb.1;Data Source=$Workbook$;Location=&quot;Table_00878_112_07&quot;;Extended Properties=&quot;&quot;" commandType="0"/>
  </connection>
  <connection id="962" xr16:uid="{B0E3273D-158F-4464-99AF-0FB138C3B837}" keepAlive="1" name="連線1863" type="5" refreshedVersion="0" background="1">
    <dbPr connection="Provider=Microsoft.Mashup.OleDb.1;Data Source=$Workbook$;Location=&quot;Table_00919_112_12&quot;;Extended Properties=&quot;&quot;" commandType="0"/>
  </connection>
  <connection id="963" xr16:uid="{366BDC53-F042-408B-8B52-4ED0AA0F16FE}" keepAlive="1" name="連線1864" type="5" refreshedVersion="0" background="1">
    <dbPr connection="Provider=Microsoft.Mashup.OleDb.1;Data Source=$Workbook$;Location=&quot;Table_00919_112_10&quot;;Extended Properties=&quot;&quot;" commandType="0"/>
  </connection>
  <connection id="964" xr16:uid="{A6C45508-13B4-4079-8567-3FCC1D16A2BC}" keepAlive="1" name="連線1865" type="5" refreshedVersion="0" background="1">
    <dbPr connection="Provider=Microsoft.Mashup.OleDb.1;Data Source=$Workbook$;Location=&quot;Table_00919_112_07&quot;;Extended Properties=&quot;&quot;" commandType="0"/>
  </connection>
  <connection id="965" xr16:uid="{701461AC-0D49-47B1-AEBB-97748D5C1468}" keepAlive="1" name="連線1866" type="5" refreshedVersion="0" background="1">
    <dbPr connection="Provider=Microsoft.Mashup.OleDb.1;Data Source=$Workbook$;Location=&quot;Table_2330_112_09&quot;;Extended Properties=&quot;&quot;" commandType="0"/>
  </connection>
  <connection id="966" xr16:uid="{5564D9B5-D152-4D93-92B9-170DE495FFAB}" keepAlive="1" name="連線1867" type="5" refreshedVersion="0" background="1">
    <dbPr connection="Provider=Microsoft.Mashup.OleDb.1;Data Source=$Workbook$;Location=&quot;Table_2330_112_06&quot;;Extended Properties=&quot;&quot;" commandType="0"/>
  </connection>
  <connection id="967" xr16:uid="{E6CB999D-2458-40F1-8A6B-83D19A755469}" keepAlive="1" name="連線1868" type="5" refreshedVersion="0" background="1">
    <dbPr connection="Provider=Microsoft.Mashup.OleDb.1;Data Source=$Workbook$;Location=&quot;Table_2330_112_05&quot;;Extended Properties=&quot;&quot;" commandType="0"/>
  </connection>
  <connection id="968" xr16:uid="{DD06A404-8FE8-4127-BBAF-C0D5F37B787E}" keepAlive="1" name="連線1869" type="5" refreshedVersion="0" background="1">
    <dbPr connection="Provider=Microsoft.Mashup.OleDb.1;Data Source=$Workbook$;Location=&quot;Table_2002_112_04&quot;;Extended Properties=&quot;&quot;" commandType="0"/>
  </connection>
  <connection id="969" xr16:uid="{031193FA-FB20-4CCB-99C2-64442EE223BB}" keepAlive="1" name="連線187" type="5" refreshedVersion="0" background="1">
    <dbPr connection="Provider=Microsoft.Mashup.OleDb.1;Data Source=$Workbook$;Location=&quot;Table_1101_113_01&quot;;Extended Properties=&quot;&quot;" commandType="0"/>
  </connection>
  <connection id="970" xr16:uid="{321DB92C-4712-4625-9208-EF8D28A97E42}" keepAlive="1" name="連線1870" type="5" refreshedVersion="0" background="1">
    <dbPr connection="Provider=Microsoft.Mashup.OleDb.1;Data Source=$Workbook$;Location=&quot;Table_2002_112_03&quot;;Extended Properties=&quot;&quot;" commandType="0"/>
  </connection>
  <connection id="971" xr16:uid="{7FD9E517-9E58-4A7B-A906-EFCC9214D47B}" keepAlive="1" name="連線1871" type="5" refreshedVersion="0" background="1">
    <dbPr connection="Provider=Microsoft.Mashup.OleDb.1;Data Source=$Workbook$;Location=&quot;Table_2002_112_02&quot;;Extended Properties=&quot;&quot;" commandType="0"/>
  </connection>
  <connection id="972" xr16:uid="{BAF39639-8A3A-43ED-9F9B-FBAD965CBBFE}" keepAlive="1" name="連線1872" type="5" refreshedVersion="0" background="1">
    <dbPr connection="Provider=Microsoft.Mashup.OleDb.1;Data Source=$Workbook$;Location=&quot;Table_2882_112_10&quot;;Extended Properties=&quot;&quot;" commandType="0"/>
  </connection>
  <connection id="973" xr16:uid="{7ADACE9B-E05E-40E7-A354-66AD2469DDBB}" keepAlive="1" name="連線1873" type="5" refreshedVersion="0" background="1">
    <dbPr connection="Provider=Microsoft.Mashup.OleDb.1;Data Source=$Workbook$;Location=&quot;Table_2882_112_08&quot;;Extended Properties=&quot;&quot;" commandType="0"/>
  </connection>
  <connection id="974" xr16:uid="{85C2F9D3-A7DB-4925-BD6F-5578B455179C}" keepAlive="1" name="連線1874" type="5" refreshedVersion="0" background="1">
    <dbPr connection="Provider=Microsoft.Mashup.OleDb.1;Data Source=$Workbook$;Location=&quot;Table_2882_112_05&quot;;Extended Properties=&quot;&quot;" commandType="0"/>
  </connection>
  <connection id="975" xr16:uid="{2B31FDAD-370C-426E-A92C-E63CF31A2AA7}" keepAlive="1" name="連線1875" type="5" refreshedVersion="0" background="1">
    <dbPr connection="Provider=Microsoft.Mashup.OleDb.1;Data Source=$Workbook$;Location=&quot;Table_00878_113_03&quot;;Extended Properties=&quot;&quot;" commandType="0"/>
  </connection>
  <connection id="976" xr16:uid="{C5399828-5807-4D0F-9C7C-B811E99957F5}" keepAlive="1" name="連線1876" type="5" refreshedVersion="0" background="1">
    <dbPr connection="Provider=Microsoft.Mashup.OleDb.1;Data Source=$Workbook$;Location=&quot;Table_00878_113_02&quot;;Extended Properties=&quot;&quot;" commandType="0"/>
  </connection>
  <connection id="977" xr16:uid="{98F2AEEA-16D6-46E8-B687-5F76B2EF351B}" keepAlive="1" name="連線1877" type="5" refreshedVersion="0" background="1">
    <dbPr connection="Provider=Microsoft.Mashup.OleDb.1;Data Source=$Workbook$;Location=&quot;Table_00878_113_01&quot;;Extended Properties=&quot;&quot;" commandType="0"/>
  </connection>
  <connection id="978" xr16:uid="{E16C1B63-1D98-445C-91AA-393F119E86AB}" keepAlive="1" name="連線1878" type="5" refreshedVersion="0" background="1">
    <dbPr connection="Provider=Microsoft.Mashup.OleDb.1;Data Source=$Workbook$;Location=&quot;Table_2330_113_03&quot;;Extended Properties=&quot;&quot;" commandType="0"/>
  </connection>
  <connection id="979" xr16:uid="{E3D8C1CD-7FA9-415B-A0B3-57A0A94BA31A}" keepAlive="1" name="連線1879" type="5" refreshedVersion="0" background="1">
    <dbPr connection="Provider=Microsoft.Mashup.OleDb.1;Data Source=$Workbook$;Location=&quot;Table_2330_113_02&quot;;Extended Properties=&quot;&quot;" commandType="0"/>
  </connection>
  <connection id="980" xr16:uid="{1FF1C42A-8E44-4F1E-A3B7-A6AB82022BF0}" keepAlive="1" name="連線188" type="5" refreshedVersion="0" background="1">
    <dbPr connection="Provider=Microsoft.Mashup.OleDb.1;Data Source=$Workbook$;Location=&quot;Table_1101_113_02&quot;;Extended Properties=&quot;&quot;" commandType="0"/>
  </connection>
  <connection id="981" xr16:uid="{58570C43-CEF0-404E-AC0A-FF13F2B16135}" keepAlive="1" name="連線1880" type="5" refreshedVersion="0" background="1">
    <dbPr connection="Provider=Microsoft.Mashup.OleDb.1;Data Source=$Workbook$;Location=&quot;Table_2330_113_01&quot;;Extended Properties=&quot;&quot;" commandType="0"/>
  </connection>
  <connection id="982" xr16:uid="{EAD438D8-6004-4CB9-A2DC-63B7B039731C}" keepAlive="1" name="連線1881" type="5" refreshedVersion="0" background="1">
    <dbPr connection="Provider=Microsoft.Mashup.OleDb.1;Data Source=$Workbook$;Location=&quot;Table_1101_113_03&quot;;Extended Properties=&quot;&quot;" commandType="0"/>
  </connection>
  <connection id="983" xr16:uid="{0EB8ED89-BE98-4E9F-AACF-E52B79224097}" keepAlive="1" name="連線1882" type="5" refreshedVersion="0" background="1">
    <dbPr connection="Provider=Microsoft.Mashup.OleDb.1;Data Source=$Workbook$;Location=&quot;Table_1101_113_02&quot;;Extended Properties=&quot;&quot;" commandType="0"/>
  </connection>
  <connection id="984" xr16:uid="{BD235A95-1DEB-4155-BE16-266F2CBFAFA6}" keepAlive="1" name="連線1883" type="5" refreshedVersion="0" background="1">
    <dbPr connection="Provider=Microsoft.Mashup.OleDb.1;Data Source=$Workbook$;Location=&quot;Table_1101_113_01&quot;;Extended Properties=&quot;&quot;" commandType="0"/>
  </connection>
  <connection id="985" xr16:uid="{A8F4C516-09C1-45B6-B180-22439FFB467F}" keepAlive="1" name="連線1884" type="5" refreshedVersion="0" background="1">
    <dbPr connection="Provider=Microsoft.Mashup.OleDb.1;Data Source=$Workbook$;Location=&quot;Table_2912_113_03&quot;;Extended Properties=&quot;&quot;" commandType="0"/>
  </connection>
  <connection id="986" xr16:uid="{7FFEA083-954E-45BF-A777-4B1B217C8E80}" keepAlive="1" name="連線1885" type="5" refreshedVersion="0" background="1">
    <dbPr connection="Provider=Microsoft.Mashup.OleDb.1;Data Source=$Workbook$;Location=&quot;Table_2912_113_02&quot;;Extended Properties=&quot;&quot;" commandType="0"/>
  </connection>
  <connection id="987" xr16:uid="{3E01D131-16D0-4772-9AB3-52F5CD5589A1}" keepAlive="1" name="連線1886" type="5" refreshedVersion="0" background="1">
    <dbPr connection="Provider=Microsoft.Mashup.OleDb.1;Data Source=$Workbook$;Location=&quot;Table_2912_113_01&quot;;Extended Properties=&quot;&quot;" commandType="0"/>
  </connection>
  <connection id="988" xr16:uid="{C902A392-0D26-4C67-836E-B00777B39901}" keepAlive="1" name="連線1887" type="5" refreshedVersion="0" background="1">
    <dbPr connection="Provider=Microsoft.Mashup.OleDb.1;Data Source=$Workbook$;Location=&quot;Table_2002_113_03&quot;;Extended Properties=&quot;&quot;" commandType="0"/>
  </connection>
  <connection id="989" xr16:uid="{520C98F8-6CE0-4BB6-AE58-3871FCE8297F}" keepAlive="1" name="連線1888" type="5" refreshedVersion="0" background="1">
    <dbPr connection="Provider=Microsoft.Mashup.OleDb.1;Data Source=$Workbook$;Location=&quot;Table_2002_113_02&quot;;Extended Properties=&quot;&quot;" commandType="0"/>
  </connection>
  <connection id="990" xr16:uid="{74D740B1-1A20-4263-92AA-F5A29252D200}" keepAlive="1" name="連線1889" type="5" refreshedVersion="0" background="1">
    <dbPr connection="Provider=Microsoft.Mashup.OleDb.1;Data Source=$Workbook$;Location=&quot;Table_2002_113_01&quot;;Extended Properties=&quot;&quot;" commandType="0"/>
  </connection>
  <connection id="991" xr16:uid="{F86E1380-621F-49FB-9693-0E5273AE41AD}" keepAlive="1" name="連線189" type="5" refreshedVersion="0" background="1">
    <dbPr connection="Provider=Microsoft.Mashup.OleDb.1;Data Source=$Workbook$;Location=&quot;Table_1101_113_03&quot;;Extended Properties=&quot;&quot;" commandType="0"/>
  </connection>
  <connection id="992" xr16:uid="{B770415F-7C68-4704-AB0D-FBC8A0D4D947}" keepAlive="1" name="連線1890" type="5" refreshedVersion="0" background="1">
    <dbPr connection="Provider=Microsoft.Mashup.OleDb.1;Data Source=$Workbook$;Location=&quot;Table_2882_113_03&quot;;Extended Properties=&quot;&quot;" commandType="0"/>
  </connection>
  <connection id="993" xr16:uid="{EAABB835-D373-492A-9949-81167DBFBF12}" keepAlive="1" name="連線1891" type="5" refreshedVersion="0" background="1">
    <dbPr connection="Provider=Microsoft.Mashup.OleDb.1;Data Source=$Workbook$;Location=&quot;Table_2882_113_02&quot;;Extended Properties=&quot;&quot;" commandType="0"/>
  </connection>
  <connection id="994" xr16:uid="{8924B193-3797-4626-BC0B-EFC47C3DD4D3}" keepAlive="1" name="連線1892" type="5" refreshedVersion="0" background="1">
    <dbPr connection="Provider=Microsoft.Mashup.OleDb.1;Data Source=$Workbook$;Location=&quot;Table_2882_113_01&quot;;Extended Properties=&quot;&quot;" commandType="0"/>
  </connection>
  <connection id="995" xr16:uid="{C0F5742E-C69A-4D13-AF64-8BA33999F3E4}" keepAlive="1" name="連線1893" type="5" refreshedVersion="0" background="1">
    <dbPr connection="Provider=Microsoft.Mashup.OleDb.1;Data Source=$Workbook$;Location=&quot;Table_2330_113_03&quot;;Extended Properties=&quot;&quot;" commandType="0"/>
  </connection>
  <connection id="996" xr16:uid="{B3569276-D9D1-4CCF-8F50-A5F80CD11B37}" keepAlive="1" name="連線1894" type="5" refreshedVersion="0" background="1">
    <dbPr connection="Provider=Microsoft.Mashup.OleDb.1;Data Source=$Workbook$;Location=&quot;Table_2330_113_02&quot;;Extended Properties=&quot;&quot;" commandType="0"/>
  </connection>
  <connection id="997" xr16:uid="{3973ED91-AE9B-441C-9A71-4B212BED9FCB}" keepAlive="1" name="連線1895" type="5" refreshedVersion="0" background="1">
    <dbPr connection="Provider=Microsoft.Mashup.OleDb.1;Data Source=$Workbook$;Location=&quot;Table_2330_113_01&quot;;Extended Properties=&quot;&quot;" commandType="0"/>
  </connection>
  <connection id="998" xr16:uid="{CF0E2346-3097-42D3-949F-DAA2D9AA4FEF}" keepAlive="1" name="連線1896" type="5" refreshedVersion="0" background="1">
    <dbPr connection="Provider=Microsoft.Mashup.OleDb.1;Data Source=$Workbook$;Location=&quot;Table_1101_113_03&quot;;Extended Properties=&quot;&quot;" commandType="0"/>
  </connection>
  <connection id="999" xr16:uid="{22DD5B26-D7C7-40CC-BDF2-8044735C42CA}" keepAlive="1" name="連線1897" type="5" refreshedVersion="0" background="1">
    <dbPr connection="Provider=Microsoft.Mashup.OleDb.1;Data Source=$Workbook$;Location=&quot;Table_1101_113_02&quot;;Extended Properties=&quot;&quot;" commandType="0"/>
  </connection>
  <connection id="1000" xr16:uid="{0C4F0662-1233-4CFB-811E-BC88FACDF69A}" keepAlive="1" name="連線1898" type="5" refreshedVersion="0" background="1">
    <dbPr connection="Provider=Microsoft.Mashup.OleDb.1;Data Source=$Workbook$;Location=&quot;Table_1101_113_01&quot;;Extended Properties=&quot;&quot;" commandType="0"/>
  </connection>
  <connection id="1001" xr16:uid="{F2983C35-88FA-4F42-BA5D-C9BB7554D0C3}" keepAlive="1" name="連線1899" type="5" refreshedVersion="0" background="1">
    <dbPr connection="Provider=Microsoft.Mashup.OleDb.1;Data Source=$Workbook$;Location=&quot;Table_2912_113_03&quot;;Extended Properties=&quot;&quot;" commandType="0"/>
  </connection>
  <connection id="1002" xr16:uid="{AB416CFE-A0FC-4941-9EEF-078B608CDC06}" keepAlive="1" name="連線19" type="5" refreshedVersion="0" background="1">
    <dbPr connection="Provider=Microsoft.Mashup.OleDb.1;Data Source=$Workbook$;Location=&quot;Table 7&quot;;Extended Properties=&quot;&quot;" commandType="0"/>
  </connection>
  <connection id="1003" xr16:uid="{76F69ED5-DD7C-44E1-9DB7-34ED330A1B47}" keepAlive="1" name="連線190" type="5" refreshedVersion="0" background="1">
    <dbPr connection="Provider=Microsoft.Mashup.OleDb.1;Data Source=$Workbook$;Location=&quot;Table_2912_113_01&quot;;Extended Properties=&quot;&quot;" commandType="0"/>
  </connection>
  <connection id="1004" xr16:uid="{51A8493D-3EF1-4906-B6C9-ECEBBECE1969}" keepAlive="1" name="連線1900" type="5" refreshedVersion="0" background="1">
    <dbPr connection="Provider=Microsoft.Mashup.OleDb.1;Data Source=$Workbook$;Location=&quot;Table_2912_113_02&quot;;Extended Properties=&quot;&quot;" commandType="0"/>
  </connection>
  <connection id="1005" xr16:uid="{8E1ABC77-8640-4D0B-8495-5335CDCEE5D6}" keepAlive="1" name="連線1901" type="5" refreshedVersion="0" background="1">
    <dbPr connection="Provider=Microsoft.Mashup.OleDb.1;Data Source=$Workbook$;Location=&quot;Table_2912_113_01&quot;;Extended Properties=&quot;&quot;" commandType="0"/>
  </connection>
  <connection id="1006" xr16:uid="{3239943C-8381-449D-A55C-DF89736AE80D}" keepAlive="1" name="連線1902" type="5" refreshedVersion="0" background="1">
    <dbPr connection="Provider=Microsoft.Mashup.OleDb.1;Data Source=$Workbook$;Location=&quot;Table_2002_113_03&quot;;Extended Properties=&quot;&quot;" commandType="0"/>
  </connection>
  <connection id="1007" xr16:uid="{DA3D4851-D2D1-4135-A7BA-40788C9E1EC8}" keepAlive="1" name="連線1903" type="5" refreshedVersion="0" background="1">
    <dbPr connection="Provider=Microsoft.Mashup.OleDb.1;Data Source=$Workbook$;Location=&quot;Table_2002_113_02&quot;;Extended Properties=&quot;&quot;" commandType="0"/>
  </connection>
  <connection id="1008" xr16:uid="{EDE49EEE-8955-462B-B057-F7A02D16F9F6}" keepAlive="1" name="連線1904" type="5" refreshedVersion="0" background="1">
    <dbPr connection="Provider=Microsoft.Mashup.OleDb.1;Data Source=$Workbook$;Location=&quot;Table_2002_113_01&quot;;Extended Properties=&quot;&quot;" commandType="0"/>
  </connection>
  <connection id="1009" xr16:uid="{B4A2C1D7-0CA4-4870-B6B5-F9674FFDF121}" keepAlive="1" name="連線1905" type="5" refreshedVersion="0" background="1">
    <dbPr connection="Provider=Microsoft.Mashup.OleDb.1;Data Source=$Workbook$;Location=&quot;Table_2882_113_03&quot;;Extended Properties=&quot;&quot;" commandType="0"/>
  </connection>
  <connection id="1010" xr16:uid="{C5B4197F-F6AA-46D9-AC44-AF043BA135C8}" keepAlive="1" name="連線1906" type="5" refreshedVersion="0" background="1">
    <dbPr connection="Provider=Microsoft.Mashup.OleDb.1;Data Source=$Workbook$;Location=&quot;Table_2882_113_02&quot;;Extended Properties=&quot;&quot;" commandType="0"/>
  </connection>
  <connection id="1011" xr16:uid="{7771D581-23DD-4AFF-B18E-DA6F81EF272B}" keepAlive="1" name="連線1907" type="5" refreshedVersion="0" background="1">
    <dbPr connection="Provider=Microsoft.Mashup.OleDb.1;Data Source=$Workbook$;Location=&quot;Table_2882_113_01&quot;;Extended Properties=&quot;&quot;" commandType="0"/>
  </connection>
  <connection id="1012" xr16:uid="{1650B499-7347-49D3-9991-E780DBBA1B7A}" keepAlive="1" name="連線1908" type="5" refreshedVersion="0" background="1">
    <dbPr connection="Provider=Microsoft.Mashup.OleDb.1;Data Source=$Workbook$;Location=&quot;Table_2330_112_07&quot;;Extended Properties=&quot;&quot;" commandType="0"/>
  </connection>
  <connection id="1013" xr16:uid="{B18C7CB6-A6AD-424D-BBA7-FE5431D856ED}" keepAlive="1" name="連線1909" type="5" refreshedVersion="0" background="1">
    <dbPr connection="Provider=Microsoft.Mashup.OleDb.1;Data Source=$Workbook$;Location=&quot;Table_2330_112_06&quot;;Extended Properties=&quot;&quot;" commandType="0"/>
  </connection>
  <connection id="1014" xr16:uid="{363404F3-A954-475F-8586-B4C6B6C4B8FD}" keepAlive="1" name="連線191" type="5" refreshedVersion="0" background="1">
    <dbPr connection="Provider=Microsoft.Mashup.OleDb.1;Data Source=$Workbook$;Location=&quot;Table_2912_113_02&quot;;Extended Properties=&quot;&quot;" commandType="0"/>
  </connection>
  <connection id="1015" xr16:uid="{32C7DF2B-FD8F-486B-9DD9-BAD8A7CE451B}" keepAlive="1" name="連線1910" type="5" refreshedVersion="0" background="1">
    <dbPr connection="Provider=Microsoft.Mashup.OleDb.1;Data Source=$Workbook$;Location=&quot;Table_2330_112_05&quot;;Extended Properties=&quot;&quot;" commandType="0"/>
  </connection>
  <connection id="1016" xr16:uid="{9DDD1A46-F415-412C-9221-F0E56EA3B6E1}" keepAlive="1" name="連線1911" type="5" refreshedVersion="0" background="1">
    <dbPr connection="Provider=Microsoft.Mashup.OleDb.1;Data Source=$Workbook$;Location=&quot;Table_1101_112_07&quot;;Extended Properties=&quot;&quot;" commandType="0"/>
  </connection>
  <connection id="1017" xr16:uid="{8F8E068A-9C7D-470C-ABF2-1A43EBC64982}" keepAlive="1" name="連線1912" type="5" refreshedVersion="0" background="1">
    <dbPr connection="Provider=Microsoft.Mashup.OleDb.1;Data Source=$Workbook$;Location=&quot;Table_1101_112_06&quot;;Extended Properties=&quot;&quot;" commandType="0"/>
  </connection>
  <connection id="1018" xr16:uid="{5D178F0B-6B52-4EEE-97F4-B7E4836AD93E}" keepAlive="1" name="連線1913" type="5" refreshedVersion="0" background="1">
    <dbPr connection="Provider=Microsoft.Mashup.OleDb.1;Data Source=$Workbook$;Location=&quot;Table_1101_112_05&quot;;Extended Properties=&quot;&quot;" commandType="0"/>
  </connection>
  <connection id="1019" xr16:uid="{DE4C727D-F481-48ED-AD40-3F2B7E7E4D72}" keepAlive="1" name="連線1914" type="5" refreshedVersion="0" background="1">
    <dbPr connection="Provider=Microsoft.Mashup.OleDb.1;Data Source=$Workbook$;Location=&quot;Table_2912_112_07&quot;;Extended Properties=&quot;&quot;" commandType="0"/>
  </connection>
  <connection id="1020" xr16:uid="{BEB45EE5-745E-4F3A-9FB4-77551B93AFB4}" keepAlive="1" name="連線1915" type="5" refreshedVersion="0" background="1">
    <dbPr connection="Provider=Microsoft.Mashup.OleDb.1;Data Source=$Workbook$;Location=&quot;Table_2912_112_06&quot;;Extended Properties=&quot;&quot;" commandType="0"/>
  </connection>
  <connection id="1021" xr16:uid="{28389CD0-6125-4853-8046-306445B5032A}" keepAlive="1" name="連線1916" type="5" refreshedVersion="0" background="1">
    <dbPr connection="Provider=Microsoft.Mashup.OleDb.1;Data Source=$Workbook$;Location=&quot;Table_2912_112_05&quot;;Extended Properties=&quot;&quot;" commandType="0"/>
  </connection>
  <connection id="1022" xr16:uid="{E300E1C3-B019-4236-AD4A-5EA0331ED571}" keepAlive="1" name="連線1917" type="5" refreshedVersion="0" background="1">
    <dbPr connection="Provider=Microsoft.Mashup.OleDb.1;Data Source=$Workbook$;Location=&quot;Table_2002_112_07&quot;;Extended Properties=&quot;&quot;" commandType="0"/>
  </connection>
  <connection id="1023" xr16:uid="{CAC3C6BC-E1EC-4BFA-AE3A-FC2185EF5679}" keepAlive="1" name="連線1918" type="5" refreshedVersion="0" background="1">
    <dbPr connection="Provider=Microsoft.Mashup.OleDb.1;Data Source=$Workbook$;Location=&quot;Table_2002_112_06&quot;;Extended Properties=&quot;&quot;" commandType="0"/>
  </connection>
  <connection id="1024" xr16:uid="{9E0DE3BE-CB5A-4534-8C06-932803375121}" keepAlive="1" name="連線1919" type="5" refreshedVersion="0" background="1">
    <dbPr connection="Provider=Microsoft.Mashup.OleDb.1;Data Source=$Workbook$;Location=&quot;Table_2002_112_05&quot;;Extended Properties=&quot;&quot;" commandType="0"/>
  </connection>
  <connection id="1025" xr16:uid="{CA73F699-1754-4E22-8D70-D82358B81111}" keepAlive="1" name="連線192" type="5" refreshedVersion="0" background="1">
    <dbPr connection="Provider=Microsoft.Mashup.OleDb.1;Data Source=$Workbook$;Location=&quot;Table_2912_113_03&quot;;Extended Properties=&quot;&quot;" commandType="0"/>
  </connection>
  <connection id="1026" xr16:uid="{9F48A54A-3B3B-45A7-AC46-264B226C0BFB}" keepAlive="1" name="連線1920" type="5" refreshedVersion="0" background="1">
    <dbPr connection="Provider=Microsoft.Mashup.OleDb.1;Data Source=$Workbook$;Location=&quot;Table_2882_112_07&quot;;Extended Properties=&quot;&quot;" commandType="0"/>
  </connection>
  <connection id="1027" xr16:uid="{2D2B359C-9FC1-4829-8F21-F623688F0FBD}" keepAlive="1" name="連線1921" type="5" refreshedVersion="0" background="1">
    <dbPr connection="Provider=Microsoft.Mashup.OleDb.1;Data Source=$Workbook$;Location=&quot;Table_2882_112_06&quot;;Extended Properties=&quot;&quot;" commandType="0"/>
  </connection>
  <connection id="1028" xr16:uid="{81B68256-5007-405C-8973-761B748BEAF6}" keepAlive="1" name="連線1922" type="5" refreshedVersion="0" background="1">
    <dbPr connection="Provider=Microsoft.Mashup.OleDb.1;Data Source=$Workbook$;Location=&quot;Table_2882_112_05&quot;;Extended Properties=&quot;&quot;" commandType="0"/>
  </connection>
  <connection id="1029" xr16:uid="{41537058-6ECB-49DA-A251-7F443797DF8B}" keepAlive="1" name="連線1923" type="5" refreshedVersion="0" background="1">
    <dbPr connection="Provider=Microsoft.Mashup.OleDb.1;Data Source=$Workbook$;Location=&quot;Table_2330_112_05&quot;;Extended Properties=&quot;&quot;" commandType="0"/>
  </connection>
  <connection id="1030" xr16:uid="{BEB69049-CD16-410C-8E79-82411B2BEF5A}" keepAlive="1" name="連線1924" type="5" refreshedVersion="0" background="1">
    <dbPr connection="Provider=Microsoft.Mashup.OleDb.1;Data Source=$Workbook$;Location=&quot;Table_2330_112_04&quot;;Extended Properties=&quot;&quot;" commandType="0"/>
  </connection>
  <connection id="1031" xr16:uid="{D025D1D4-74FA-4171-B6EE-43273A8DCECA}" keepAlive="1" name="連線1925" type="5" refreshedVersion="0" background="1">
    <dbPr connection="Provider=Microsoft.Mashup.OleDb.1;Data Source=$Workbook$;Location=&quot;Table_2330_112_03&quot;;Extended Properties=&quot;&quot;" commandType="0"/>
  </connection>
  <connection id="1032" xr16:uid="{2537BE88-98A0-49B5-9E38-8CE19D7C7438}" keepAlive="1" name="連線1926" type="5" refreshedVersion="0" background="1">
    <dbPr connection="Provider=Microsoft.Mashup.OleDb.1;Data Source=$Workbook$;Location=&quot;Table_1101_112_05&quot;;Extended Properties=&quot;&quot;" commandType="0"/>
  </connection>
  <connection id="1033" xr16:uid="{C3E4642A-34CF-4AA2-851A-BE8BC6E61003}" keepAlive="1" name="連線1927" type="5" refreshedVersion="0" background="1">
    <dbPr connection="Provider=Microsoft.Mashup.OleDb.1;Data Source=$Workbook$;Location=&quot;Table_1101_112_04&quot;;Extended Properties=&quot;&quot;" commandType="0"/>
  </connection>
  <connection id="1034" xr16:uid="{F24C74E4-6B86-476D-827D-47BB21120CBA}" keepAlive="1" name="連線1928" type="5" refreshedVersion="0" background="1">
    <dbPr connection="Provider=Microsoft.Mashup.OleDb.1;Data Source=$Workbook$;Location=&quot;Table_1101_112_03&quot;;Extended Properties=&quot;&quot;" commandType="0"/>
  </connection>
  <connection id="1035" xr16:uid="{85DDB9CA-7CA7-4405-A74F-10CBB6666AFB}" keepAlive="1" name="連線1929" type="5" refreshedVersion="0" background="1">
    <dbPr connection="Provider=Microsoft.Mashup.OleDb.1;Data Source=$Workbook$;Location=&quot;Table_2912_112_05&quot;;Extended Properties=&quot;&quot;" commandType="0"/>
  </connection>
  <connection id="1036" xr16:uid="{EB500A22-9175-4D4F-B3E3-4225543CE540}" keepAlive="1" name="連線193" type="5" refreshedVersion="0" background="1">
    <dbPr connection="Provider=Microsoft.Mashup.OleDb.1;Data Source=$Workbook$;Location=&quot;Table_2002_113_01&quot;;Extended Properties=&quot;&quot;" commandType="0"/>
  </connection>
  <connection id="1037" xr16:uid="{C7C275B9-5862-4431-B415-42B50D7A2A8D}" keepAlive="1" name="連線1930" type="5" refreshedVersion="0" background="1">
    <dbPr connection="Provider=Microsoft.Mashup.OleDb.1;Data Source=$Workbook$;Location=&quot;Table_2912_112_04&quot;;Extended Properties=&quot;&quot;" commandType="0"/>
  </connection>
  <connection id="1038" xr16:uid="{98E9F778-0682-41F1-B3B4-47A4717BCD52}" keepAlive="1" name="連線1931" type="5" refreshedVersion="0" background="1">
    <dbPr connection="Provider=Microsoft.Mashup.OleDb.1;Data Source=$Workbook$;Location=&quot;Table_2912_112_03&quot;;Extended Properties=&quot;&quot;" commandType="0"/>
  </connection>
  <connection id="1039" xr16:uid="{FCC58C88-5A46-4398-8C90-9BBAD7EFA691}" keepAlive="1" name="連線1932" type="5" refreshedVersion="0" background="1">
    <dbPr connection="Provider=Microsoft.Mashup.OleDb.1;Data Source=$Workbook$;Location=&quot;Table_2002_112_05&quot;;Extended Properties=&quot;&quot;" commandType="0"/>
  </connection>
  <connection id="1040" xr16:uid="{7BB75E14-ADD8-4A43-ADD8-D7A0900D3300}" keepAlive="1" name="連線1933" type="5" refreshedVersion="0" background="1">
    <dbPr connection="Provider=Microsoft.Mashup.OleDb.1;Data Source=$Workbook$;Location=&quot;Table_2002_112_04&quot;;Extended Properties=&quot;&quot;" commandType="0"/>
  </connection>
  <connection id="1041" xr16:uid="{719682A2-DD78-4A09-BC94-BB9A1F685BA3}" keepAlive="1" name="連線1934" type="5" refreshedVersion="0" background="1">
    <dbPr connection="Provider=Microsoft.Mashup.OleDb.1;Data Source=$Workbook$;Location=&quot;Table_2002_112_03&quot;;Extended Properties=&quot;&quot;" commandType="0"/>
  </connection>
  <connection id="1042" xr16:uid="{D812FA1D-8BAA-4EA8-B4BF-0B06362DBF1E}" keepAlive="1" name="連線1935" type="5" refreshedVersion="0" background="1">
    <dbPr connection="Provider=Microsoft.Mashup.OleDb.1;Data Source=$Workbook$;Location=&quot;Table_2882_112_05&quot;;Extended Properties=&quot;&quot;" commandType="0"/>
  </connection>
  <connection id="1043" xr16:uid="{555ADB70-DFCC-4952-A229-968F47CEED0E}" keepAlive="1" name="連線1936" type="5" refreshedVersion="0" background="1">
    <dbPr connection="Provider=Microsoft.Mashup.OleDb.1;Data Source=$Workbook$;Location=&quot;Table_2882_112_04&quot;;Extended Properties=&quot;&quot;" commandType="0"/>
  </connection>
  <connection id="1044" xr16:uid="{E403387B-6C5D-44AA-AE75-54108A131029}" keepAlive="1" name="連線1937" type="5" refreshedVersion="0" background="1">
    <dbPr connection="Provider=Microsoft.Mashup.OleDb.1;Data Source=$Workbook$;Location=&quot;Table_2882_112_03&quot;;Extended Properties=&quot;&quot;" commandType="0"/>
  </connection>
  <connection id="1045" xr16:uid="{DADB1EA7-D74C-4C0C-801F-385EA32B757C}" keepAlive="1" name="連線1938" type="5" refreshedVersion="0" background="1">
    <dbPr connection="Provider=Microsoft.Mashup.OleDb.1;Data Source=$Workbook$;Location=&quot;Table_2330_113_03&quot;;Extended Properties=&quot;&quot;" commandType="0"/>
  </connection>
  <connection id="1046" xr16:uid="{8B70269C-3442-4234-B906-AF2AD98BF4F2}" keepAlive="1" name="連線1939" type="5" refreshedVersion="0" background="1">
    <dbPr connection="Provider=Microsoft.Mashup.OleDb.1;Data Source=$Workbook$;Location=&quot;Table_2330_113_02&quot;;Extended Properties=&quot;&quot;" commandType="0"/>
  </connection>
  <connection id="1047" xr16:uid="{67A8AE6C-ECE1-402C-9608-4C9F55435944}" keepAlive="1" name="連線194" type="5" refreshedVersion="0" background="1">
    <dbPr connection="Provider=Microsoft.Mashup.OleDb.1;Data Source=$Workbook$;Location=&quot;Table_2002_113_02&quot;;Extended Properties=&quot;&quot;" commandType="0"/>
  </connection>
  <connection id="1048" xr16:uid="{ED69B10D-13D0-427E-AF85-BF7DE3E56CED}" keepAlive="1" name="連線1940" type="5" refreshedVersion="0" background="1">
    <dbPr connection="Provider=Microsoft.Mashup.OleDb.1;Data Source=$Workbook$;Location=&quot;Table_2330_113_01&quot;;Extended Properties=&quot;&quot;" commandType="0"/>
  </connection>
  <connection id="1049" xr16:uid="{2B30D4A7-72D3-43BC-80EC-03B6D5C74EDE}" keepAlive="1" name="連線1941" type="5" refreshedVersion="0" background="1">
    <dbPr connection="Provider=Microsoft.Mashup.OleDb.1;Data Source=$Workbook$;Location=&quot;Table_1101_113_03&quot;;Extended Properties=&quot;&quot;" commandType="0"/>
  </connection>
  <connection id="1050" xr16:uid="{78828FE5-9A64-43F0-8B09-4F0CC966D30D}" keepAlive="1" name="連線1942" type="5" refreshedVersion="0" background="1">
    <dbPr connection="Provider=Microsoft.Mashup.OleDb.1;Data Source=$Workbook$;Location=&quot;Table_1101_113_02&quot;;Extended Properties=&quot;&quot;" commandType="0"/>
  </connection>
  <connection id="1051" xr16:uid="{77A78E87-A14B-4E6D-8314-FE636E365E19}" keepAlive="1" name="連線1943" type="5" refreshedVersion="0" background="1">
    <dbPr connection="Provider=Microsoft.Mashup.OleDb.1;Data Source=$Workbook$;Location=&quot;Table_1101_113_01&quot;;Extended Properties=&quot;&quot;" commandType="0"/>
  </connection>
  <connection id="1052" xr16:uid="{C45D6A90-A00B-4321-9044-CC74151350CD}" keepAlive="1" name="連線1944" type="5" refreshedVersion="0" background="1">
    <dbPr connection="Provider=Microsoft.Mashup.OleDb.1;Data Source=$Workbook$;Location=&quot;Table_2912_113_03&quot;;Extended Properties=&quot;&quot;" commandType="0"/>
  </connection>
  <connection id="1053" xr16:uid="{465C8AEC-4720-4FD7-9C99-CF17795D96DC}" keepAlive="1" name="連線1945" type="5" refreshedVersion="0" background="1">
    <dbPr connection="Provider=Microsoft.Mashup.OleDb.1;Data Source=$Workbook$;Location=&quot;Table_2912_113_02&quot;;Extended Properties=&quot;&quot;" commandType="0"/>
  </connection>
  <connection id="1054" xr16:uid="{FEEB7476-8FF4-45E7-8F41-1C78B6EC0C1D}" keepAlive="1" name="連線1946" type="5" refreshedVersion="0" background="1">
    <dbPr connection="Provider=Microsoft.Mashup.OleDb.1;Data Source=$Workbook$;Location=&quot;Table_2912_113_01&quot;;Extended Properties=&quot;&quot;" commandType="0"/>
  </connection>
  <connection id="1055" xr16:uid="{AF264032-D441-409E-9B68-C5BA2602F283}" keepAlive="1" name="連線1947" type="5" refreshedVersion="0" background="1">
    <dbPr connection="Provider=Microsoft.Mashup.OleDb.1;Data Source=$Workbook$;Location=&quot;Table_2002_113_03&quot;;Extended Properties=&quot;&quot;" commandType="0"/>
  </connection>
  <connection id="1056" xr16:uid="{75BC8AD3-818B-42F4-8A88-7282FD31A092}" keepAlive="1" name="連線1948" type="5" refreshedVersion="0" background="1">
    <dbPr connection="Provider=Microsoft.Mashup.OleDb.1;Data Source=$Workbook$;Location=&quot;Table_2002_113_02&quot;;Extended Properties=&quot;&quot;" commandType="0"/>
  </connection>
  <connection id="1057" xr16:uid="{E886C077-21F4-464C-B7D9-4B615555F9A1}" keepAlive="1" name="連線1949" type="5" refreshedVersion="0" background="1">
    <dbPr connection="Provider=Microsoft.Mashup.OleDb.1;Data Source=$Workbook$;Location=&quot;Table_2002_113_01&quot;;Extended Properties=&quot;&quot;" commandType="0"/>
  </connection>
  <connection id="1058" xr16:uid="{9A8A23D4-E1E8-4E85-8F1C-241B90C83672}" keepAlive="1" name="連線195" type="5" refreshedVersion="0" background="1">
    <dbPr connection="Provider=Microsoft.Mashup.OleDb.1;Data Source=$Workbook$;Location=&quot;Table_2002_113_03&quot;;Extended Properties=&quot;&quot;" commandType="0"/>
  </connection>
  <connection id="1059" xr16:uid="{7B26B739-0C85-4C07-BCA0-DF541620238F}" keepAlive="1" name="連線1950" type="5" refreshedVersion="0" background="1">
    <dbPr connection="Provider=Microsoft.Mashup.OleDb.1;Data Source=$Workbook$;Location=&quot;Table_2882_113_03&quot;;Extended Properties=&quot;&quot;" commandType="0"/>
  </connection>
  <connection id="1060" xr16:uid="{70CD06F9-0FCB-4B32-8892-F525CA05FAD4}" keepAlive="1" name="連線1951" type="5" refreshedVersion="0" background="1">
    <dbPr connection="Provider=Microsoft.Mashup.OleDb.1;Data Source=$Workbook$;Location=&quot;Table_2882_113_02&quot;;Extended Properties=&quot;&quot;" commandType="0"/>
  </connection>
  <connection id="1061" xr16:uid="{337C1F20-D615-4498-87B0-7991F07DCB05}" keepAlive="1" name="連線1952" type="5" refreshedVersion="0" background="1">
    <dbPr connection="Provider=Microsoft.Mashup.OleDb.1;Data Source=$Workbook$;Location=&quot;Table_2882_113_01&quot;;Extended Properties=&quot;&quot;" commandType="0"/>
  </connection>
  <connection id="1062" xr16:uid="{F87D8802-78D2-4095-8AB5-62FE723EB83A}" keepAlive="1" name="連線1953" type="5" refreshedVersion="0" background="1">
    <dbPr connection="Provider=Microsoft.Mashup.OleDb.1;Data Source=$Workbook$;Location=&quot;Table_2330_112_07&quot;;Extended Properties=&quot;&quot;" commandType="0"/>
  </connection>
  <connection id="1063" xr16:uid="{F00D955B-B535-43D8-8A55-0CDB8911AD9E}" keepAlive="1" name="連線1954" type="5" refreshedVersion="0" background="1">
    <dbPr connection="Provider=Microsoft.Mashup.OleDb.1;Data Source=$Workbook$;Location=&quot;Table_2330_112_06&quot;;Extended Properties=&quot;&quot;" commandType="0"/>
  </connection>
  <connection id="1064" xr16:uid="{E824E6FA-9C95-4F53-9CA3-A9204B1E9F0D}" keepAlive="1" name="連線1955" type="5" refreshedVersion="0" background="1">
    <dbPr connection="Provider=Microsoft.Mashup.OleDb.1;Data Source=$Workbook$;Location=&quot;Table_2330_112_05&quot;;Extended Properties=&quot;&quot;" commandType="0"/>
  </connection>
  <connection id="1065" xr16:uid="{A71F56F4-E0AB-4A0D-AE0A-479FE63272E6}" keepAlive="1" name="連線1956" type="5" refreshedVersion="0" background="1">
    <dbPr connection="Provider=Microsoft.Mashup.OleDb.1;Data Source=$Workbook$;Location=&quot;Table_1101_112_07&quot;;Extended Properties=&quot;&quot;" commandType="0"/>
  </connection>
  <connection id="1066" xr16:uid="{1CC2F998-5A43-4194-B16F-FF47B5A4FD22}" keepAlive="1" name="連線1957" type="5" refreshedVersion="0" background="1">
    <dbPr connection="Provider=Microsoft.Mashup.OleDb.1;Data Source=$Workbook$;Location=&quot;Table_1101_112_06&quot;;Extended Properties=&quot;&quot;" commandType="0"/>
  </connection>
  <connection id="1067" xr16:uid="{28DB1081-9A4C-4A7A-B319-039CBA98AAB7}" keepAlive="1" name="連線1958" type="5" refreshedVersion="0" background="1">
    <dbPr connection="Provider=Microsoft.Mashup.OleDb.1;Data Source=$Workbook$;Location=&quot;Table_1101_112_05&quot;;Extended Properties=&quot;&quot;" commandType="0"/>
  </connection>
  <connection id="1068" xr16:uid="{A0CF7C7A-98E4-4570-991A-ADD508A7216D}" keepAlive="1" name="連線1959" type="5" refreshedVersion="0" background="1">
    <dbPr connection="Provider=Microsoft.Mashup.OleDb.1;Data Source=$Workbook$;Location=&quot;Table_2912_112_07&quot;;Extended Properties=&quot;&quot;" commandType="0"/>
  </connection>
  <connection id="1069" xr16:uid="{69E8ABE0-7C03-4A25-A71E-953516E4A884}" keepAlive="1" name="連線196" type="5" refreshedVersion="0" background="1">
    <dbPr connection="Provider=Microsoft.Mashup.OleDb.1;Data Source=$Workbook$;Location=&quot;Table_2882_113_01&quot;;Extended Properties=&quot;&quot;" commandType="0"/>
  </connection>
  <connection id="1070" xr16:uid="{971CF273-BE96-4F9F-A29A-EC32B220AB44}" keepAlive="1" name="連線1960" type="5" refreshedVersion="0" background="1">
    <dbPr connection="Provider=Microsoft.Mashup.OleDb.1;Data Source=$Workbook$;Location=&quot;Table_2912_112_06&quot;;Extended Properties=&quot;&quot;" commandType="0"/>
  </connection>
  <connection id="1071" xr16:uid="{A79701B2-9A60-4B44-B5AD-03A62E31128B}" keepAlive="1" name="連線1961" type="5" refreshedVersion="0" background="1">
    <dbPr connection="Provider=Microsoft.Mashup.OleDb.1;Data Source=$Workbook$;Location=&quot;Table_2912_112_05&quot;;Extended Properties=&quot;&quot;" commandType="0"/>
  </connection>
  <connection id="1072" xr16:uid="{5F31D0D4-FE51-4360-B1FC-1744A4F1FFF1}" keepAlive="1" name="連線1962" type="5" refreshedVersion="0" background="1">
    <dbPr connection="Provider=Microsoft.Mashup.OleDb.1;Data Source=$Workbook$;Location=&quot;Table_2002_112_07&quot;;Extended Properties=&quot;&quot;" commandType="0"/>
  </connection>
  <connection id="1073" xr16:uid="{62FC346C-A9D5-45DE-B354-958FFCE76D85}" keepAlive="1" name="連線1963" type="5" refreshedVersion="0" background="1">
    <dbPr connection="Provider=Microsoft.Mashup.OleDb.1;Data Source=$Workbook$;Location=&quot;Table_2002_112_06&quot;;Extended Properties=&quot;&quot;" commandType="0"/>
  </connection>
  <connection id="1074" xr16:uid="{F3B7C812-95DD-4A22-8BA0-1BA97EF3B900}" keepAlive="1" name="連線1964" type="5" refreshedVersion="0" background="1">
    <dbPr connection="Provider=Microsoft.Mashup.OleDb.1;Data Source=$Workbook$;Location=&quot;Table_2002_112_05&quot;;Extended Properties=&quot;&quot;" commandType="0"/>
  </connection>
  <connection id="1075" xr16:uid="{FD094C3D-75BE-4A74-B842-8FA0685FD7D3}" keepAlive="1" name="連線1965" type="5" refreshedVersion="0" background="1">
    <dbPr connection="Provider=Microsoft.Mashup.OleDb.1;Data Source=$Workbook$;Location=&quot;Table_2882_112_07&quot;;Extended Properties=&quot;&quot;" commandType="0"/>
  </connection>
  <connection id="1076" xr16:uid="{39F0CB86-A2A5-41E8-BCEC-E7E87E21189D}" keepAlive="1" name="連線1966" type="5" refreshedVersion="0" background="1">
    <dbPr connection="Provider=Microsoft.Mashup.OleDb.1;Data Source=$Workbook$;Location=&quot;Table_2882_112_06&quot;;Extended Properties=&quot;&quot;" commandType="0"/>
  </connection>
  <connection id="1077" xr16:uid="{21FD5AB3-A6A8-4AD1-84DC-DE0062C41FF4}" keepAlive="1" name="連線1967" type="5" refreshedVersion="0" background="1">
    <dbPr connection="Provider=Microsoft.Mashup.OleDb.1;Data Source=$Workbook$;Location=&quot;Table_2882_112_05&quot;;Extended Properties=&quot;&quot;" commandType="0"/>
  </connection>
  <connection id="1078" xr16:uid="{1F895059-CA5C-4CA3-A523-181D5E7F1756}" keepAlive="1" name="連線1968" type="5" refreshedVersion="0" background="1">
    <dbPr connection="Provider=Microsoft.Mashup.OleDb.1;Data Source=$Workbook$;Location=&quot;Table_2330_112_07&quot;;Extended Properties=&quot;&quot;" commandType="0"/>
  </connection>
  <connection id="1079" xr16:uid="{71CAF4AE-3562-49FF-8F07-B98C393B85E4}" keepAlive="1" name="連線1969" type="5" refreshedVersion="0" background="1">
    <dbPr connection="Provider=Microsoft.Mashup.OleDb.1;Data Source=$Workbook$;Location=&quot;Table_2330_112_06&quot;;Extended Properties=&quot;&quot;" commandType="0"/>
  </connection>
  <connection id="1080" xr16:uid="{FBA641E5-57E9-4DAA-A8C4-9AF4D0180091}" keepAlive="1" name="連線197" type="5" refreshedVersion="0" background="1">
    <dbPr connection="Provider=Microsoft.Mashup.OleDb.1;Data Source=$Workbook$;Location=&quot;Table_2882_113_02&quot;;Extended Properties=&quot;&quot;" commandType="0"/>
  </connection>
  <connection id="1081" xr16:uid="{B5A2B8D8-B0DB-4475-802B-3F6ED3114551}" keepAlive="1" name="連線1970" type="5" refreshedVersion="0" background="1">
    <dbPr connection="Provider=Microsoft.Mashup.OleDb.1;Data Source=$Workbook$;Location=&quot;Table_2330_112_05&quot;;Extended Properties=&quot;&quot;" commandType="0"/>
  </connection>
  <connection id="1082" xr16:uid="{CD50B852-618C-48FA-8FC9-5200FB945901}" keepAlive="1" name="連線1971" type="5" refreshedVersion="0" background="1">
    <dbPr connection="Provider=Microsoft.Mashup.OleDb.1;Data Source=$Workbook$;Location=&quot;Table_1101_112_07&quot;;Extended Properties=&quot;&quot;" commandType="0"/>
  </connection>
  <connection id="1083" xr16:uid="{341B87EF-6723-4A4B-ACE6-52F9CCE79037}" keepAlive="1" name="連線1972" type="5" refreshedVersion="0" background="1">
    <dbPr connection="Provider=Microsoft.Mashup.OleDb.1;Data Source=$Workbook$;Location=&quot;Table_1101_112_06&quot;;Extended Properties=&quot;&quot;" commandType="0"/>
  </connection>
  <connection id="1084" xr16:uid="{86FFBDD9-7C6D-47A0-9D4B-709A76B8DE38}" keepAlive="1" name="連線1973" type="5" refreshedVersion="0" background="1">
    <dbPr connection="Provider=Microsoft.Mashup.OleDb.1;Data Source=$Workbook$;Location=&quot;Table_1101_112_05&quot;;Extended Properties=&quot;&quot;" commandType="0"/>
  </connection>
  <connection id="1085" xr16:uid="{33B235A9-D5CD-42DB-AF18-26290988DB2F}" keepAlive="1" name="連線1974" type="5" refreshedVersion="0" background="1">
    <dbPr connection="Provider=Microsoft.Mashup.OleDb.1;Data Source=$Workbook$;Location=&quot;Table_2912_112_07&quot;;Extended Properties=&quot;&quot;" commandType="0"/>
  </connection>
  <connection id="1086" xr16:uid="{BDC428CB-8920-4A63-A10F-9AEC358C0A2F}" keepAlive="1" name="連線1975" type="5" refreshedVersion="0" background="1">
    <dbPr connection="Provider=Microsoft.Mashup.OleDb.1;Data Source=$Workbook$;Location=&quot;Table_2912_112_06&quot;;Extended Properties=&quot;&quot;" commandType="0"/>
  </connection>
  <connection id="1087" xr16:uid="{1D387245-B3F6-4B22-85C4-0386149DA14A}" keepAlive="1" name="連線1976" type="5" refreshedVersion="0" background="1">
    <dbPr connection="Provider=Microsoft.Mashup.OleDb.1;Data Source=$Workbook$;Location=&quot;Table_2912_112_05&quot;;Extended Properties=&quot;&quot;" commandType="0"/>
  </connection>
  <connection id="1088" xr16:uid="{9002E979-297C-4B21-9197-24918684B90D}" keepAlive="1" name="連線1977" type="5" refreshedVersion="0" background="1">
    <dbPr connection="Provider=Microsoft.Mashup.OleDb.1;Data Source=$Workbook$;Location=&quot;Table_2002_112_07&quot;;Extended Properties=&quot;&quot;" commandType="0"/>
  </connection>
  <connection id="1089" xr16:uid="{02AEFDE5-8026-40C8-925C-9F57F5347874}" keepAlive="1" name="連線1978" type="5" refreshedVersion="0" background="1">
    <dbPr connection="Provider=Microsoft.Mashup.OleDb.1;Data Source=$Workbook$;Location=&quot;Table_2002_112_06&quot;;Extended Properties=&quot;&quot;" commandType="0"/>
  </connection>
  <connection id="1090" xr16:uid="{75C16D7E-FC87-441E-9BFF-DE0715155C72}" keepAlive="1" name="連線1979" type="5" refreshedVersion="0" background="1">
    <dbPr connection="Provider=Microsoft.Mashup.OleDb.1;Data Source=$Workbook$;Location=&quot;Table_2002_112_05&quot;;Extended Properties=&quot;&quot;" commandType="0"/>
  </connection>
  <connection id="1091" xr16:uid="{3999895A-1C98-4E1A-9439-C4E173D18A7D}" keepAlive="1" name="連線198" type="5" refreshedVersion="0" background="1">
    <dbPr connection="Provider=Microsoft.Mashup.OleDb.1;Data Source=$Workbook$;Location=&quot;Table_2882_113_03&quot;;Extended Properties=&quot;&quot;" commandType="0"/>
  </connection>
  <connection id="1092" xr16:uid="{F4D3E5C6-FE77-4794-9A9A-BD870CC9103F}" keepAlive="1" name="連線1980" type="5" refreshedVersion="0" background="1">
    <dbPr connection="Provider=Microsoft.Mashup.OleDb.1;Data Source=$Workbook$;Location=&quot;Table_00878_112_07&quot;;Extended Properties=&quot;&quot;" commandType="0"/>
  </connection>
  <connection id="1093" xr16:uid="{88131FBB-FF7A-454F-B8CE-ACDE8304F8CF}" keepAlive="1" name="連線1981" type="5" refreshedVersion="0" background="1">
    <dbPr connection="Provider=Microsoft.Mashup.OleDb.1;Data Source=$Workbook$;Location=&quot;Table_00878_112_06&quot;;Extended Properties=&quot;&quot;" commandType="0"/>
  </connection>
  <connection id="1094" xr16:uid="{B17816FB-C1E1-4717-A034-5EA9591160F3}" keepAlive="1" name="連線1982" type="5" refreshedVersion="0" background="1">
    <dbPr connection="Provider=Microsoft.Mashup.OleDb.1;Data Source=$Workbook$;Location=&quot;Table_00878_112_05&quot;;Extended Properties=&quot;&quot;" commandType="0"/>
  </connection>
  <connection id="1095" xr16:uid="{3A2F6E99-C8F6-48A2-BFE4-7573274754AD}" keepAlive="1" name="連線1983" type="5" refreshedVersion="0" background="1">
    <dbPr connection="Provider=Microsoft.Mashup.OleDb.1;Data Source=$Workbook$;Location=&quot;Table_2330_112_07&quot;;Extended Properties=&quot;&quot;" commandType="0"/>
  </connection>
  <connection id="1096" xr16:uid="{B9853630-19A3-4CB1-929E-3695102179B3}" keepAlive="1" name="連線1984" type="5" refreshedVersion="0" background="1">
    <dbPr connection="Provider=Microsoft.Mashup.OleDb.1;Data Source=$Workbook$;Location=&quot;Table_2330_112_06&quot;;Extended Properties=&quot;&quot;" commandType="0"/>
  </connection>
  <connection id="1097" xr16:uid="{D15EFBDC-46BB-4573-BBED-AA6DCF1C0D3F}" keepAlive="1" name="連線1985" type="5" refreshedVersion="0" background="1">
    <dbPr connection="Provider=Microsoft.Mashup.OleDb.1;Data Source=$Workbook$;Location=&quot;Table_2330_112_05&quot;;Extended Properties=&quot;&quot;" commandType="0"/>
  </connection>
  <connection id="1098" xr16:uid="{23FD9B00-0C0E-42F5-9875-5A0AE187B34E}" keepAlive="1" name="連線1986" type="5" refreshedVersion="0" background="1">
    <dbPr connection="Provider=Microsoft.Mashup.OleDb.1;Data Source=$Workbook$;Location=&quot;Table_1101_112_07&quot;;Extended Properties=&quot;&quot;" commandType="0"/>
  </connection>
  <connection id="1099" xr16:uid="{DBD0BF4D-2A07-4CC9-8BAD-91548BA47BE2}" keepAlive="1" name="連線1987" type="5" refreshedVersion="0" background="1">
    <dbPr connection="Provider=Microsoft.Mashup.OleDb.1;Data Source=$Workbook$;Location=&quot;Table_1101_112_06&quot;;Extended Properties=&quot;&quot;" commandType="0"/>
  </connection>
  <connection id="1100" xr16:uid="{366AF09F-F77F-400B-8F8F-A9E210462D1A}" keepAlive="1" name="連線1988" type="5" refreshedVersion="0" background="1">
    <dbPr connection="Provider=Microsoft.Mashup.OleDb.1;Data Source=$Workbook$;Location=&quot;Table_1101_112_05&quot;;Extended Properties=&quot;&quot;" commandType="0"/>
  </connection>
  <connection id="1101" xr16:uid="{88B88FD5-A2EB-49EB-9BBB-C517BB774C06}" keepAlive="1" name="連線1989" type="5" refreshedVersion="0" background="1">
    <dbPr connection="Provider=Microsoft.Mashup.OleDb.1;Data Source=$Workbook$;Location=&quot;Table_2912_112_07&quot;;Extended Properties=&quot;&quot;" commandType="0"/>
  </connection>
  <connection id="1102" xr16:uid="{EA21C49E-3D21-4499-A421-583E9C018C4E}" keepAlive="1" name="連線199" type="5" refreshedVersion="0" background="1">
    <dbPr connection="Provider=Microsoft.Mashup.OleDb.1;Data Source=$Workbook$;Location=&quot;Table_2330_113_01&quot;;Extended Properties=&quot;&quot;" commandType="0"/>
  </connection>
  <connection id="1103" xr16:uid="{4974FAE0-8186-4658-9C4D-171879B57239}" keepAlive="1" name="連線1990" type="5" refreshedVersion="0" background="1">
    <dbPr connection="Provider=Microsoft.Mashup.OleDb.1;Data Source=$Workbook$;Location=&quot;Table_2912_112_06&quot;;Extended Properties=&quot;&quot;" commandType="0"/>
  </connection>
  <connection id="1104" xr16:uid="{7E42ACF7-47FB-44C8-A94A-2C9DF162C382}" keepAlive="1" name="連線1991" type="5" refreshedVersion="0" background="1">
    <dbPr connection="Provider=Microsoft.Mashup.OleDb.1;Data Source=$Workbook$;Location=&quot;Table_2912_112_05&quot;;Extended Properties=&quot;&quot;" commandType="0"/>
  </connection>
  <connection id="1105" xr16:uid="{5ECB1D84-47D2-4C89-8428-9E20151725CA}" keepAlive="1" name="連線1992" type="5" refreshedVersion="0" background="1">
    <dbPr connection="Provider=Microsoft.Mashup.OleDb.1;Data Source=$Workbook$;Location=&quot;Table_2002_112_07&quot;;Extended Properties=&quot;&quot;" commandType="0"/>
  </connection>
  <connection id="1106" xr16:uid="{2D148354-545B-4C2A-90F5-D0DFA77A3FCB}" keepAlive="1" name="連線1993" type="5" refreshedVersion="0" background="1">
    <dbPr connection="Provider=Microsoft.Mashup.OleDb.1;Data Source=$Workbook$;Location=&quot;Table_2002_112_06&quot;;Extended Properties=&quot;&quot;" commandType="0"/>
  </connection>
  <connection id="1107" xr16:uid="{DE024136-17AF-4F10-86A2-4F57F98B34BB}" keepAlive="1" name="連線1994" type="5" refreshedVersion="0" background="1">
    <dbPr connection="Provider=Microsoft.Mashup.OleDb.1;Data Source=$Workbook$;Location=&quot;Table_2002_112_05&quot;;Extended Properties=&quot;&quot;" commandType="0"/>
  </connection>
  <connection id="1108" xr16:uid="{E923102C-30B4-4C51-AD4A-912992318C32}" keepAlive="1" name="連線1995" type="5" refreshedVersion="0" background="1">
    <dbPr connection="Provider=Microsoft.Mashup.OleDb.1;Data Source=$Workbook$;Location=&quot;Table_00878_112_07&quot;;Extended Properties=&quot;&quot;" commandType="0"/>
  </connection>
  <connection id="1109" xr16:uid="{CD4DE48B-DDAA-4216-96B2-8932FE17C8B4}" keepAlive="1" name="連線1996" type="5" refreshedVersion="0" background="1">
    <dbPr connection="Provider=Microsoft.Mashup.OleDb.1;Data Source=$Workbook$;Location=&quot;Table_00878_112_06&quot;;Extended Properties=&quot;&quot;" commandType="0"/>
  </connection>
  <connection id="1110" xr16:uid="{F76E9DBE-DA83-48D9-8655-BF39000E1E56}" keepAlive="1" name="連線1997" type="5" refreshedVersion="0" background="1">
    <dbPr connection="Provider=Microsoft.Mashup.OleDb.1;Data Source=$Workbook$;Location=&quot;Table_00878_112_05&quot;;Extended Properties=&quot;&quot;" commandType="0"/>
  </connection>
  <connection id="1111" xr16:uid="{14B78D9E-329A-4F47-96BD-1701F416F966}" keepAlive="1" name="連線1998" type="5" refreshedVersion="0" background="1">
    <dbPr connection="Provider=Microsoft.Mashup.OleDb.1;Data Source=$Workbook$;Location=&quot;Table_2330_112_07&quot;;Extended Properties=&quot;&quot;" commandType="0"/>
  </connection>
  <connection id="1112" xr16:uid="{DFA7B443-7F68-445B-BE55-0E933B0FFF2B}" keepAlive="1" name="連線1999" type="5" refreshedVersion="0" background="1">
    <dbPr connection="Provider=Microsoft.Mashup.OleDb.1;Data Source=$Workbook$;Location=&quot;Table_2330_112_06&quot;;Extended Properties=&quot;&quot;" commandType="0"/>
  </connection>
  <connection id="1113" xr16:uid="{0A7A39D6-FC2A-462C-9093-8888B637F085}" keepAlive="1" name="連線2" type="5" refreshedVersion="0" background="1">
    <dbPr connection="Provider=Microsoft.Mashup.OleDb.1;Data Source=$Workbook$;Location=&quot;Table 5&quot;;Extended Properties=&quot;&quot;" commandType="0"/>
  </connection>
  <connection id="1114" xr16:uid="{BD934EA0-94D4-45B7-A5E0-FCA14C455BC0}" keepAlive="1" name="連線20" type="5" refreshedVersion="0" background="1">
    <dbPr connection="Provider=Microsoft.Mashup.OleDb.1;Data Source=$Workbook$;Location=&quot;Table 3&quot;;Extended Properties=&quot;&quot;" commandType="0"/>
  </connection>
  <connection id="1115" xr16:uid="{6F289EB3-A832-410C-85D5-82D5026EDAEE}" keepAlive="1" name="連線200" type="5" refreshedVersion="0" background="1">
    <dbPr connection="Provider=Microsoft.Mashup.OleDb.1;Data Source=$Workbook$;Location=&quot;Table_2330_113_02&quot;;Extended Properties=&quot;&quot;" commandType="0"/>
  </connection>
  <connection id="1116" xr16:uid="{DFE741AA-98F6-4A5A-B440-0401AD6587B9}" keepAlive="1" name="連線2000" type="5" refreshedVersion="0" background="1">
    <dbPr connection="Provider=Microsoft.Mashup.OleDb.1;Data Source=$Workbook$;Location=&quot;Table_2330_112_05&quot;;Extended Properties=&quot;&quot;" commandType="0"/>
  </connection>
  <connection id="1117" xr16:uid="{6A56CB28-1859-4D87-8981-284F9D37265D}" keepAlive="1" name="連線2001" type="5" refreshedVersion="0" background="1">
    <dbPr connection="Provider=Microsoft.Mashup.OleDb.1;Data Source=$Workbook$;Location=&quot;Table_1101_112_07&quot;;Extended Properties=&quot;&quot;" commandType="0"/>
  </connection>
  <connection id="1118" xr16:uid="{8C9CE5CD-F0C9-465E-9C0E-65CF8D9E5E62}" keepAlive="1" name="連線2002" type="5" refreshedVersion="0" background="1">
    <dbPr connection="Provider=Microsoft.Mashup.OleDb.1;Data Source=$Workbook$;Location=&quot;Table_1101_112_06&quot;;Extended Properties=&quot;&quot;" commandType="0"/>
  </connection>
  <connection id="1119" xr16:uid="{7292775C-729B-4061-81EB-EFEBF9B0FC62}" keepAlive="1" name="連線2003" type="5" refreshedVersion="0" background="1">
    <dbPr connection="Provider=Microsoft.Mashup.OleDb.1;Data Source=$Workbook$;Location=&quot;Table_1101_112_05&quot;;Extended Properties=&quot;&quot;" commandType="0"/>
  </connection>
  <connection id="1120" xr16:uid="{AED03565-93F2-445B-BEF1-D60E374EF4B9}" keepAlive="1" name="連線2004" type="5" refreshedVersion="0" background="1">
    <dbPr connection="Provider=Microsoft.Mashup.OleDb.1;Data Source=$Workbook$;Location=&quot;Table_2912_112_07&quot;;Extended Properties=&quot;&quot;" commandType="0"/>
  </connection>
  <connection id="1121" xr16:uid="{855EF936-7EEA-4B2E-ACC8-21D91A51AA7F}" keepAlive="1" name="連線2005" type="5" refreshedVersion="0" background="1">
    <dbPr connection="Provider=Microsoft.Mashup.OleDb.1;Data Source=$Workbook$;Location=&quot;Table_2912_112_06&quot;;Extended Properties=&quot;&quot;" commandType="0"/>
  </connection>
  <connection id="1122" xr16:uid="{1C61920B-23D4-4B41-A810-527EACDEC757}" keepAlive="1" name="連線2006" type="5" refreshedVersion="0" background="1">
    <dbPr connection="Provider=Microsoft.Mashup.OleDb.1;Data Source=$Workbook$;Location=&quot;Table_2912_112_05&quot;;Extended Properties=&quot;&quot;" commandType="0"/>
  </connection>
  <connection id="1123" xr16:uid="{28F75A46-3058-4A55-88DF-631BD4E2867C}" keepAlive="1" name="連線2007" type="5" refreshedVersion="0" background="1">
    <dbPr connection="Provider=Microsoft.Mashup.OleDb.1;Data Source=$Workbook$;Location=&quot;Table_2002_112_07&quot;;Extended Properties=&quot;&quot;" commandType="0"/>
  </connection>
  <connection id="1124" xr16:uid="{8B32381A-239F-4DAD-892E-29A51D0132A6}" keepAlive="1" name="連線2008" type="5" refreshedVersion="0" background="1">
    <dbPr connection="Provider=Microsoft.Mashup.OleDb.1;Data Source=$Workbook$;Location=&quot;Table_2002_112_06&quot;;Extended Properties=&quot;&quot;" commandType="0"/>
  </connection>
  <connection id="1125" xr16:uid="{12A19F52-F250-4A21-8E91-7C2B1CE9B2C7}" keepAlive="1" name="連線2009" type="5" refreshedVersion="0" background="1">
    <dbPr connection="Provider=Microsoft.Mashup.OleDb.1;Data Source=$Workbook$;Location=&quot;Table_2002_112_05&quot;;Extended Properties=&quot;&quot;" commandType="0"/>
  </connection>
  <connection id="1126" xr16:uid="{43468C3F-33C7-4A23-A2EC-50F91E2D9385}" keepAlive="1" name="連線201" type="5" refreshedVersion="0" background="1">
    <dbPr connection="Provider=Microsoft.Mashup.OleDb.1;Data Source=$Workbook$;Location=&quot;Table_2330_113_03&quot;;Extended Properties=&quot;&quot;" commandType="0"/>
  </connection>
  <connection id="1127" xr16:uid="{70A0793D-8015-4D47-B437-F56431C36231}" keepAlive="1" name="連線2010" type="5" refreshedVersion="0" background="1">
    <dbPr connection="Provider=Microsoft.Mashup.OleDb.1;Data Source=$Workbook$;Location=&quot;Table_2882_112_07&quot;;Extended Properties=&quot;&quot;" commandType="0"/>
  </connection>
  <connection id="1128" xr16:uid="{B4FCBA6A-528F-4E7B-962D-C69974457544}" keepAlive="1" name="連線2011" type="5" refreshedVersion="0" background="1">
    <dbPr connection="Provider=Microsoft.Mashup.OleDb.1;Data Source=$Workbook$;Location=&quot;Table_2882_112_06&quot;;Extended Properties=&quot;&quot;" commandType="0"/>
  </connection>
  <connection id="1129" xr16:uid="{098DD0E4-D1B6-4B4A-9C07-B388FF57E8D6}" keepAlive="1" name="連線2012" type="5" refreshedVersion="0" background="1">
    <dbPr connection="Provider=Microsoft.Mashup.OleDb.1;Data Source=$Workbook$;Location=&quot;Table_2882_112_05&quot;;Extended Properties=&quot;&quot;" commandType="0"/>
  </connection>
  <connection id="1130" xr16:uid="{01CCF5A3-9E94-47DF-B990-42030D258D8E}" keepAlive="1" name="連線2013" type="5" refreshedVersion="0" background="1">
    <dbPr connection="Provider=Microsoft.Mashup.OleDb.1;Data Source=$Workbook$;Location=&quot;Table_2330_112_07&quot;;Extended Properties=&quot;&quot;" commandType="0"/>
  </connection>
  <connection id="1131" xr16:uid="{478666EF-E7A4-4325-AD58-589806BD9B50}" keepAlive="1" name="連線2014" type="5" refreshedVersion="0" background="1">
    <dbPr connection="Provider=Microsoft.Mashup.OleDb.1;Data Source=$Workbook$;Location=&quot;Table_2330_112_06&quot;;Extended Properties=&quot;&quot;" commandType="0"/>
  </connection>
  <connection id="1132" xr16:uid="{10FB9C35-2B40-480C-B852-814417F6CA69}" keepAlive="1" name="連線2015" type="5" refreshedVersion="0" background="1">
    <dbPr connection="Provider=Microsoft.Mashup.OleDb.1;Data Source=$Workbook$;Location=&quot;Table_2330_112_05&quot;;Extended Properties=&quot;&quot;" commandType="0"/>
  </connection>
  <connection id="1133" xr16:uid="{C4B40D6E-70AF-4C8E-A13F-CC040A69F7D5}" keepAlive="1" name="連線2016" type="5" refreshedVersion="0" background="1">
    <dbPr connection="Provider=Microsoft.Mashup.OleDb.1;Data Source=$Workbook$;Location=&quot;Table_1101_112_07&quot;;Extended Properties=&quot;&quot;" commandType="0"/>
  </connection>
  <connection id="1134" xr16:uid="{4774B38C-FE98-408C-A11C-EDCFE1E7B595}" keepAlive="1" name="連線2017" type="5" refreshedVersion="0" background="1">
    <dbPr connection="Provider=Microsoft.Mashup.OleDb.1;Data Source=$Workbook$;Location=&quot;Table_1101_112_06&quot;;Extended Properties=&quot;&quot;" commandType="0"/>
  </connection>
  <connection id="1135" xr16:uid="{F6A326D1-6BE8-4C94-82D1-5170DD2C5A16}" keepAlive="1" name="連線2018" type="5" refreshedVersion="0" background="1">
    <dbPr connection="Provider=Microsoft.Mashup.OleDb.1;Data Source=$Workbook$;Location=&quot;Table_1101_112_05&quot;;Extended Properties=&quot;&quot;" commandType="0"/>
  </connection>
  <connection id="1136" xr16:uid="{49767723-D16A-4FEA-8495-EDBAA859A3A7}" keepAlive="1" name="連線2019" type="5" refreshedVersion="0" background="1">
    <dbPr connection="Provider=Microsoft.Mashup.OleDb.1;Data Source=$Workbook$;Location=&quot;Table_2912_112_07&quot;;Extended Properties=&quot;&quot;" commandType="0"/>
  </connection>
  <connection id="1137" xr16:uid="{B76B5B05-FB93-4316-8A54-B5D865C2267D}" keepAlive="1" name="連線202" type="5" refreshedVersion="0" background="1">
    <dbPr connection="Provider=Microsoft.Mashup.OleDb.1;Data Source=$Workbook$;Location=&quot;Table_1101_113_01&quot;;Extended Properties=&quot;&quot;" commandType="0"/>
  </connection>
  <connection id="1138" xr16:uid="{BDBB9640-48A2-40BC-A252-EC6331F84C9E}" keepAlive="1" name="連線2020" type="5" refreshedVersion="0" background="1">
    <dbPr connection="Provider=Microsoft.Mashup.OleDb.1;Data Source=$Workbook$;Location=&quot;Table_2912_112_06&quot;;Extended Properties=&quot;&quot;" commandType="0"/>
  </connection>
  <connection id="1139" xr16:uid="{7E97E1A8-7B9B-47C7-9805-5D9357C40BE1}" keepAlive="1" name="連線2021" type="5" refreshedVersion="0" background="1">
    <dbPr connection="Provider=Microsoft.Mashup.OleDb.1;Data Source=$Workbook$;Location=&quot;Table_2912_112_05&quot;;Extended Properties=&quot;&quot;" commandType="0"/>
  </connection>
  <connection id="1140" xr16:uid="{35D4DD5B-0F9E-45AA-8EA5-D2432E8356E5}" keepAlive="1" name="連線2022" type="5" refreshedVersion="0" background="1">
    <dbPr connection="Provider=Microsoft.Mashup.OleDb.1;Data Source=$Workbook$;Location=&quot;Table_2002_112_07&quot;;Extended Properties=&quot;&quot;" commandType="0"/>
  </connection>
  <connection id="1141" xr16:uid="{EC365528-DCDC-4816-AFA6-DB9FE87D9573}" keepAlive="1" name="連線2023" type="5" refreshedVersion="0" background="1">
    <dbPr connection="Provider=Microsoft.Mashup.OleDb.1;Data Source=$Workbook$;Location=&quot;Table_2002_112_06&quot;;Extended Properties=&quot;&quot;" commandType="0"/>
  </connection>
  <connection id="1142" xr16:uid="{83912C6E-0AE9-496B-841F-5ACD52D54415}" keepAlive="1" name="連線2024" type="5" refreshedVersion="0" background="1">
    <dbPr connection="Provider=Microsoft.Mashup.OleDb.1;Data Source=$Workbook$;Location=&quot;Table_2002_112_05&quot;;Extended Properties=&quot;&quot;" commandType="0"/>
  </connection>
  <connection id="1143" xr16:uid="{39866976-F05B-4DB7-88AD-716ED584357F}" keepAlive="1" name="連線2025" type="5" refreshedVersion="0" background="1">
    <dbPr connection="Provider=Microsoft.Mashup.OleDb.1;Data Source=$Workbook$;Location=&quot;Table_00878_112_07&quot;;Extended Properties=&quot;&quot;" commandType="0"/>
  </connection>
  <connection id="1144" xr16:uid="{ED25443E-630D-409B-9EBE-44278CB11703}" keepAlive="1" name="連線2026" type="5" refreshedVersion="0" background="1">
    <dbPr connection="Provider=Microsoft.Mashup.OleDb.1;Data Source=$Workbook$;Location=&quot;Table_00878_112_06&quot;;Extended Properties=&quot;&quot;" commandType="0"/>
  </connection>
  <connection id="1145" xr16:uid="{0F7F47A8-E13E-4F2B-A92E-C38DE1A2D30C}" keepAlive="1" name="連線2027" type="5" refreshedVersion="0" background="1">
    <dbPr connection="Provider=Microsoft.Mashup.OleDb.1;Data Source=$Workbook$;Location=&quot;Table_00878_112_05&quot;;Extended Properties=&quot;&quot;" commandType="0"/>
  </connection>
  <connection id="1146" xr16:uid="{B54CFBBB-9350-41D0-8518-DAAC07294F6A}" keepAlive="1" name="連線2028" type="5" refreshedVersion="0" background="1">
    <dbPr connection="Provider=Microsoft.Mashup.OleDb.1;Data Source=$Workbook$;Location=&quot;Table_2330_112_03&quot;;Extended Properties=&quot;&quot;" commandType="0"/>
  </connection>
  <connection id="1147" xr16:uid="{E8A5B72D-4906-4E7B-B987-156EE834E63C}" keepAlive="1" name="連線2029" type="5" refreshedVersion="0" background="1">
    <dbPr connection="Provider=Microsoft.Mashup.OleDb.1;Data Source=$Workbook$;Location=&quot;Table_2330_112_02&quot;;Extended Properties=&quot;&quot;" commandType="0"/>
  </connection>
  <connection id="1148" xr16:uid="{7233CB96-709F-4BC9-95AC-E2EB62C6DF20}" keepAlive="1" name="連線203" type="5" refreshedVersion="0" background="1">
    <dbPr connection="Provider=Microsoft.Mashup.OleDb.1;Data Source=$Workbook$;Location=&quot;Table_1101_113_02&quot;;Extended Properties=&quot;&quot;" commandType="0"/>
  </connection>
  <connection id="1149" xr16:uid="{935F6E95-EC44-4E3D-AC9E-A8470030F3AD}" keepAlive="1" name="連線2030" type="5" refreshedVersion="0" background="1">
    <dbPr connection="Provider=Microsoft.Mashup.OleDb.1;Data Source=$Workbook$;Location=&quot;Table_2330_112_01&quot;;Extended Properties=&quot;&quot;" commandType="0"/>
  </connection>
  <connection id="1150" xr16:uid="{5944149B-0EF0-4FEA-BA9B-E3E0DFA91D07}" keepAlive="1" name="連線2031" type="5" refreshedVersion="0" background="1">
    <dbPr connection="Provider=Microsoft.Mashup.OleDb.1;Data Source=$Workbook$;Location=&quot;Table_1101_112_03&quot;;Extended Properties=&quot;&quot;" commandType="0"/>
  </connection>
  <connection id="1151" xr16:uid="{55FB2207-CD01-4414-966C-CC55EBFC270B}" keepAlive="1" name="連線2032" type="5" refreshedVersion="0" background="1">
    <dbPr connection="Provider=Microsoft.Mashup.OleDb.1;Data Source=$Workbook$;Location=&quot;Table_1101_112_02&quot;;Extended Properties=&quot;&quot;" commandType="0"/>
  </connection>
  <connection id="1152" xr16:uid="{DB6CD2C1-06C9-4C83-825A-BB0128295B64}" keepAlive="1" name="連線2033" type="5" refreshedVersion="0" background="1">
    <dbPr connection="Provider=Microsoft.Mashup.OleDb.1;Data Source=$Workbook$;Location=&quot;Table_1101_112_01&quot;;Extended Properties=&quot;&quot;" commandType="0"/>
  </connection>
  <connection id="1153" xr16:uid="{2688C3C6-D4CE-43A0-8843-8C77CA296102}" keepAlive="1" name="連線2034" type="5" refreshedVersion="0" background="1">
    <dbPr connection="Provider=Microsoft.Mashup.OleDb.1;Data Source=$Workbook$;Location=&quot;Table_2912_112_03&quot;;Extended Properties=&quot;&quot;" commandType="0"/>
  </connection>
  <connection id="1154" xr16:uid="{91D45AC1-C0A6-430A-A6F5-43BFBA450033}" keepAlive="1" name="連線2035" type="5" refreshedVersion="0" background="1">
    <dbPr connection="Provider=Microsoft.Mashup.OleDb.1;Data Source=$Workbook$;Location=&quot;Table_2912_112_02&quot;;Extended Properties=&quot;&quot;" commandType="0"/>
  </connection>
  <connection id="1155" xr16:uid="{A86DD600-CEC4-40FA-A786-6476ACED3C95}" keepAlive="1" name="連線2036" type="5" refreshedVersion="0" background="1">
    <dbPr connection="Provider=Microsoft.Mashup.OleDb.1;Data Source=$Workbook$;Location=&quot;Table_2912_112_01&quot;;Extended Properties=&quot;&quot;" commandType="0"/>
  </connection>
  <connection id="1156" xr16:uid="{6ABA84F8-3275-4A26-932A-B302E5646642}" keepAlive="1" name="連線2037" type="5" refreshedVersion="0" background="1">
    <dbPr connection="Provider=Microsoft.Mashup.OleDb.1;Data Source=$Workbook$;Location=&quot;Table_2002_112_03&quot;;Extended Properties=&quot;&quot;" commandType="0"/>
  </connection>
  <connection id="1157" xr16:uid="{1C860649-9A8E-4B4C-9E10-691DFAF52A3E}" keepAlive="1" name="連線2038" type="5" refreshedVersion="0" background="1">
    <dbPr connection="Provider=Microsoft.Mashup.OleDb.1;Data Source=$Workbook$;Location=&quot;Table_2002_112_02&quot;;Extended Properties=&quot;&quot;" commandType="0"/>
  </connection>
  <connection id="1158" xr16:uid="{4B8271E7-17D8-4FCB-9992-16FA6F195D1C}" keepAlive="1" name="連線2039" type="5" refreshedVersion="0" background="1">
    <dbPr connection="Provider=Microsoft.Mashup.OleDb.1;Data Source=$Workbook$;Location=&quot;Table_2002_112_01&quot;;Extended Properties=&quot;&quot;" commandType="0"/>
  </connection>
  <connection id="1159" xr16:uid="{9DE3D815-B7F5-4560-BCF9-83E33F2BAB36}" keepAlive="1" name="連線204" type="5" refreshedVersion="0" background="1">
    <dbPr connection="Provider=Microsoft.Mashup.OleDb.1;Data Source=$Workbook$;Location=&quot;Table_1101_113_03&quot;;Extended Properties=&quot;&quot;" commandType="0"/>
  </connection>
  <connection id="1160" xr16:uid="{D561E10F-2AA8-40E9-9BFC-92A759F52D02}" keepAlive="1" name="連線2040" type="5" refreshedVersion="0" background="1">
    <dbPr connection="Provider=Microsoft.Mashup.OleDb.1;Data Source=$Workbook$;Location=&quot;Table_00878_112_03&quot;;Extended Properties=&quot;&quot;" commandType="0"/>
  </connection>
  <connection id="1161" xr16:uid="{343A4419-E8B8-4BCB-ADF1-51A95B642A81}" keepAlive="1" name="連線2041" type="5" refreshedVersion="0" background="1">
    <dbPr connection="Provider=Microsoft.Mashup.OleDb.1;Data Source=$Workbook$;Location=&quot;Table_00878_112_02&quot;;Extended Properties=&quot;&quot;" commandType="0"/>
  </connection>
  <connection id="1162" xr16:uid="{11A11A22-78D3-4B87-A98E-64463A62DE0F}" keepAlive="1" name="連線2042" type="5" refreshedVersion="0" background="1">
    <dbPr connection="Provider=Microsoft.Mashup.OleDb.1;Data Source=$Workbook$;Location=&quot;Table_00878_112_01&quot;;Extended Properties=&quot;&quot;" commandType="0"/>
  </connection>
  <connection id="1163" xr16:uid="{6468D0C9-5833-4E8D-A81D-DB99D00F6528}" keepAlive="1" name="連線2043" type="5" refreshedVersion="0" background="1">
    <dbPr connection="Provider=Microsoft.Mashup.OleDb.1;Data Source=$Workbook$;Location=&quot;Table_2330_112_10&quot;;Extended Properties=&quot;&quot;" commandType="0"/>
  </connection>
  <connection id="1164" xr16:uid="{2F995E4F-A1CB-47BF-97A3-755C11E54CBB}" keepAlive="1" name="連線2044" type="5" refreshedVersion="0" background="1">
    <dbPr connection="Provider=Microsoft.Mashup.OleDb.1;Data Source=$Workbook$;Location=&quot;Table_2330_112_09&quot;;Extended Properties=&quot;&quot;" commandType="0"/>
  </connection>
  <connection id="1165" xr16:uid="{32A8A3EA-9DDA-451C-A659-EDFE2DC89250}" keepAlive="1" name="連線2045" type="5" refreshedVersion="0" background="1">
    <dbPr connection="Provider=Microsoft.Mashup.OleDb.1;Data Source=$Workbook$;Location=&quot;Table_2330_112_08&quot;;Extended Properties=&quot;&quot;" commandType="0"/>
  </connection>
  <connection id="1166" xr16:uid="{A3D3B7E2-98C3-47C1-8131-9BF9C00C78C6}" keepAlive="1" name="連線2046" type="5" refreshedVersion="0" background="1">
    <dbPr connection="Provider=Microsoft.Mashup.OleDb.1;Data Source=$Workbook$;Location=&quot;Table_1101_112_10&quot;;Extended Properties=&quot;&quot;" commandType="0"/>
  </connection>
  <connection id="1167" xr16:uid="{D9DAF362-FB6B-42FC-B7EB-FFA8354F96E9}" keepAlive="1" name="連線2047" type="5" refreshedVersion="0" background="1">
    <dbPr connection="Provider=Microsoft.Mashup.OleDb.1;Data Source=$Workbook$;Location=&quot;Table_1101_112_09&quot;;Extended Properties=&quot;&quot;" commandType="0"/>
  </connection>
  <connection id="1168" xr16:uid="{B2F9C403-6ACE-48C4-950F-E046E56DAE0C}" keepAlive="1" name="連線2048" type="5" refreshedVersion="0" background="1">
    <dbPr connection="Provider=Microsoft.Mashup.OleDb.1;Data Source=$Workbook$;Location=&quot;Table_1101_112_08&quot;;Extended Properties=&quot;&quot;" commandType="0"/>
  </connection>
  <connection id="1169" xr16:uid="{0DDFF353-E612-4C45-ADE5-738A4A17A326}" keepAlive="1" name="連線2049" type="5" refreshedVersion="0" background="1">
    <dbPr connection="Provider=Microsoft.Mashup.OleDb.1;Data Source=$Workbook$;Location=&quot;Table_2912_112_10&quot;;Extended Properties=&quot;&quot;" commandType="0"/>
  </connection>
  <connection id="1170" xr16:uid="{58305D13-4CC2-4DA6-AD26-CFE3AB8FB2CE}" keepAlive="1" name="連線205" type="5" refreshedVersion="0" background="1">
    <dbPr connection="Provider=Microsoft.Mashup.OleDb.1;Data Source=$Workbook$;Location=&quot;Table_2912_113_01&quot;;Extended Properties=&quot;&quot;" commandType="0"/>
  </connection>
  <connection id="1171" xr16:uid="{A6381AB2-82DA-4BB8-B390-9E32A7134DE3}" keepAlive="1" name="連線2050" type="5" refreshedVersion="0" background="1">
    <dbPr connection="Provider=Microsoft.Mashup.OleDb.1;Data Source=$Workbook$;Location=&quot;Table_2912_112_09&quot;;Extended Properties=&quot;&quot;" commandType="0"/>
  </connection>
  <connection id="1172" xr16:uid="{3B513DA3-0750-4A5B-9FE9-C17ADD55BB49}" keepAlive="1" name="連線2051" type="5" refreshedVersion="0" background="1">
    <dbPr connection="Provider=Microsoft.Mashup.OleDb.1;Data Source=$Workbook$;Location=&quot;Table_2912_112_08&quot;;Extended Properties=&quot;&quot;" commandType="0"/>
  </connection>
  <connection id="1173" xr16:uid="{A893F5DD-077D-42A1-921C-2DA9711A707F}" keepAlive="1" name="連線2052" type="5" refreshedVersion="0" background="1">
    <dbPr connection="Provider=Microsoft.Mashup.OleDb.1;Data Source=$Workbook$;Location=&quot;Table_2002_112_10&quot;;Extended Properties=&quot;&quot;" commandType="0"/>
  </connection>
  <connection id="1174" xr16:uid="{36092545-560D-4103-B538-629EA3D04A75}" keepAlive="1" name="連線2053" type="5" refreshedVersion="0" background="1">
    <dbPr connection="Provider=Microsoft.Mashup.OleDb.1;Data Source=$Workbook$;Location=&quot;Table_2002_112_09&quot;;Extended Properties=&quot;&quot;" commandType="0"/>
  </connection>
  <connection id="1175" xr16:uid="{FD47F49B-E99B-41AF-8209-81EF646D4BD4}" keepAlive="1" name="連線2054" type="5" refreshedVersion="0" background="1">
    <dbPr connection="Provider=Microsoft.Mashup.OleDb.1;Data Source=$Workbook$;Location=&quot;Table_2002_112_08&quot;;Extended Properties=&quot;&quot;" commandType="0"/>
  </connection>
  <connection id="1176" xr16:uid="{FDDD2D25-094E-4C0A-B86C-CF703EDE5989}" keepAlive="1" name="連線2055" type="5" refreshedVersion="0" background="1">
    <dbPr connection="Provider=Microsoft.Mashup.OleDb.1;Data Source=$Workbook$;Location=&quot;Table_00878_112_10&quot;;Extended Properties=&quot;&quot;" commandType="0"/>
  </connection>
  <connection id="1177" xr16:uid="{C2399E64-62DA-4E89-B9D6-B7F85A3A7ABA}" keepAlive="1" name="連線2056" type="5" refreshedVersion="0" background="1">
    <dbPr connection="Provider=Microsoft.Mashup.OleDb.1;Data Source=$Workbook$;Location=&quot;Table_00878_112_09&quot;;Extended Properties=&quot;&quot;" commandType="0"/>
  </connection>
  <connection id="1178" xr16:uid="{D4352AA4-FD9D-4CCC-8691-84FC91AA37F1}" keepAlive="1" name="連線2057" type="5" refreshedVersion="0" background="1">
    <dbPr connection="Provider=Microsoft.Mashup.OleDb.1;Data Source=$Workbook$;Location=&quot;Table_00878_112_08&quot;;Extended Properties=&quot;&quot;" commandType="0"/>
  </connection>
  <connection id="1179" xr16:uid="{5705A69D-51E2-46BD-8B37-BA514648AC31}" keepAlive="1" name="連線2058" type="5" refreshedVersion="0" background="1">
    <dbPr connection="Provider=Microsoft.Mashup.OleDb.1;Data Source=$Workbook$;Location=&quot;Table_2330_112_03&quot;;Extended Properties=&quot;&quot;" commandType="0"/>
  </connection>
  <connection id="1180" xr16:uid="{1BC13E11-966A-48CE-AA21-DD04358EBADE}" keepAlive="1" name="連線2059" type="5" refreshedVersion="0" background="1">
    <dbPr connection="Provider=Microsoft.Mashup.OleDb.1;Data Source=$Workbook$;Location=&quot;Table_2330_112_02&quot;;Extended Properties=&quot;&quot;" commandType="0"/>
  </connection>
  <connection id="1181" xr16:uid="{F5787439-582E-4D73-B0F3-D4479238C6DD}" keepAlive="1" name="連線206" type="5" refreshedVersion="0" background="1">
    <dbPr connection="Provider=Microsoft.Mashup.OleDb.1;Data Source=$Workbook$;Location=&quot;Table_2912_113_02&quot;;Extended Properties=&quot;&quot;" commandType="0"/>
  </connection>
  <connection id="1182" xr16:uid="{F4C2E94F-9A68-4076-9A0A-9E487B66DD02}" keepAlive="1" name="連線2060" type="5" refreshedVersion="0" background="1">
    <dbPr connection="Provider=Microsoft.Mashup.OleDb.1;Data Source=$Workbook$;Location=&quot;Table_2330_112_01&quot;;Extended Properties=&quot;&quot;" commandType="0"/>
  </connection>
  <connection id="1183" xr16:uid="{7245EDA8-121C-4188-97A0-7F29C0B9FACC}" keepAlive="1" name="連線2061" type="5" refreshedVersion="0" background="1">
    <dbPr connection="Provider=Microsoft.Mashup.OleDb.1;Data Source=$Workbook$;Location=&quot;Table_1101_112_03&quot;;Extended Properties=&quot;&quot;" commandType="0"/>
  </connection>
  <connection id="1184" xr16:uid="{28D2D332-A51E-4E80-A703-981E8EB94A47}" keepAlive="1" name="連線2062" type="5" refreshedVersion="0" background="1">
    <dbPr connection="Provider=Microsoft.Mashup.OleDb.1;Data Source=$Workbook$;Location=&quot;Table_1101_112_02&quot;;Extended Properties=&quot;&quot;" commandType="0"/>
  </connection>
  <connection id="1185" xr16:uid="{47DA3CFF-59D9-4D71-8E52-3D6FB8D373FA}" keepAlive="1" name="連線2063" type="5" refreshedVersion="0" background="1">
    <dbPr connection="Provider=Microsoft.Mashup.OleDb.1;Data Source=$Workbook$;Location=&quot;Table_1101_112_01&quot;;Extended Properties=&quot;&quot;" commandType="0"/>
  </connection>
  <connection id="1186" xr16:uid="{1127A2C7-E5C1-4F89-8B53-1634DEA5505F}" keepAlive="1" name="連線2064" type="5" refreshedVersion="0" background="1">
    <dbPr connection="Provider=Microsoft.Mashup.OleDb.1;Data Source=$Workbook$;Location=&quot;Table_2912_112_03&quot;;Extended Properties=&quot;&quot;" commandType="0"/>
  </connection>
  <connection id="1187" xr16:uid="{C7309792-4D4D-42A9-A4F9-1DD1D435B6F0}" keepAlive="1" name="連線2065" type="5" refreshedVersion="0" background="1">
    <dbPr connection="Provider=Microsoft.Mashup.OleDb.1;Data Source=$Workbook$;Location=&quot;Table_2912_112_02&quot;;Extended Properties=&quot;&quot;" commandType="0"/>
  </connection>
  <connection id="1188" xr16:uid="{074A8B98-7728-4BB0-9BD5-E41E042071D6}" keepAlive="1" name="連線2066" type="5" refreshedVersion="0" background="1">
    <dbPr connection="Provider=Microsoft.Mashup.OleDb.1;Data Source=$Workbook$;Location=&quot;Table_2912_112_01&quot;;Extended Properties=&quot;&quot;" commandType="0"/>
  </connection>
  <connection id="1189" xr16:uid="{44B19CC9-3C80-4948-9CAF-6F4FA158FCC8}" keepAlive="1" name="連線2067" type="5" refreshedVersion="0" background="1">
    <dbPr connection="Provider=Microsoft.Mashup.OleDb.1;Data Source=$Workbook$;Location=&quot;Table_2002_112_03&quot;;Extended Properties=&quot;&quot;" commandType="0"/>
  </connection>
  <connection id="1190" xr16:uid="{104D6CEA-8EC5-491D-B503-9E59F1FB146D}" keepAlive="1" name="連線2068" type="5" refreshedVersion="0" background="1">
    <dbPr connection="Provider=Microsoft.Mashup.OleDb.1;Data Source=$Workbook$;Location=&quot;Table_2002_112_02&quot;;Extended Properties=&quot;&quot;" commandType="0"/>
  </connection>
  <connection id="1191" xr16:uid="{F5D0FDE3-2498-47EC-81D9-103F2A7AD269}" keepAlive="1" name="連線2069" type="5" refreshedVersion="0" background="1">
    <dbPr connection="Provider=Microsoft.Mashup.OleDb.1;Data Source=$Workbook$;Location=&quot;Table_2002_112_01&quot;;Extended Properties=&quot;&quot;" commandType="0"/>
  </connection>
  <connection id="1192" xr16:uid="{0FED70A8-9409-47F5-8437-369608EC8391}" keepAlive="1" name="連線207" type="5" refreshedVersion="0" background="1">
    <dbPr connection="Provider=Microsoft.Mashup.OleDb.1;Data Source=$Workbook$;Location=&quot;Table_2912_113_03&quot;;Extended Properties=&quot;&quot;" commandType="0"/>
  </connection>
  <connection id="1193" xr16:uid="{E7E0BFCF-E82F-4B68-ACB1-E6EDFADFD43D}" keepAlive="1" name="連線2070" type="5" refreshedVersion="0" background="1">
    <dbPr connection="Provider=Microsoft.Mashup.OleDb.1;Data Source=$Workbook$;Location=&quot;Table_00878_112_03&quot;;Extended Properties=&quot;&quot;" commandType="0"/>
  </connection>
  <connection id="1194" xr16:uid="{4FEEA125-F2D4-43A9-80A2-2D010EAB6601}" keepAlive="1" name="連線2071" type="5" refreshedVersion="0" background="1">
    <dbPr connection="Provider=Microsoft.Mashup.OleDb.1;Data Source=$Workbook$;Location=&quot;Table_00878_112_02&quot;;Extended Properties=&quot;&quot;" commandType="0"/>
  </connection>
  <connection id="1195" xr16:uid="{C8E41B79-5454-4D7D-BD90-D0F893057526}" keepAlive="1" name="連線2072" type="5" refreshedVersion="0" background="1">
    <dbPr connection="Provider=Microsoft.Mashup.OleDb.1;Data Source=$Workbook$;Location=&quot;Table_00878_112_01&quot;;Extended Properties=&quot;&quot;" commandType="0"/>
  </connection>
  <connection id="1196" xr16:uid="{6DB3AA8C-D281-47B7-A37E-C96400BA78B2}" keepAlive="1" name="連線2073" type="5" refreshedVersion="0" background="1">
    <dbPr connection="Provider=Microsoft.Mashup.OleDb.1;Data Source=$Workbook$;Location=&quot;Table_2330_112_06&quot;;Extended Properties=&quot;&quot;" commandType="0"/>
  </connection>
  <connection id="1197" xr16:uid="{BC85897F-30CD-4580-BB93-8977B5E6258D}" keepAlive="1" name="連線2074" type="5" refreshedVersion="0" background="1">
    <dbPr connection="Provider=Microsoft.Mashup.OleDb.1;Data Source=$Workbook$;Location=&quot;Table_2330_112_05&quot;;Extended Properties=&quot;&quot;" commandType="0"/>
  </connection>
  <connection id="1198" xr16:uid="{9F3A6609-A438-4C16-B797-D4CCF208DA2D}" keepAlive="1" name="連線2075" type="5" refreshedVersion="0" background="1">
    <dbPr connection="Provider=Microsoft.Mashup.OleDb.1;Data Source=$Workbook$;Location=&quot;Table_2330_112_04&quot;;Extended Properties=&quot;&quot;" commandType="0"/>
  </connection>
  <connection id="1199" xr16:uid="{F7C2546D-9472-4C9D-B394-E7FE6DFDB0D9}" keepAlive="1" name="連線2076" type="5" refreshedVersion="0" background="1">
    <dbPr connection="Provider=Microsoft.Mashup.OleDb.1;Data Source=$Workbook$;Location=&quot;Table_1101_112_06&quot;;Extended Properties=&quot;&quot;" commandType="0"/>
  </connection>
  <connection id="1200" xr16:uid="{3E3A5EDE-23E2-4C52-BD1C-EB8A88E2624F}" keepAlive="1" name="連線2077" type="5" refreshedVersion="0" background="1">
    <dbPr connection="Provider=Microsoft.Mashup.OleDb.1;Data Source=$Workbook$;Location=&quot;Table_1101_112_05&quot;;Extended Properties=&quot;&quot;" commandType="0"/>
  </connection>
  <connection id="1201" xr16:uid="{0E8E3A58-879D-4B4E-AD35-8CF811BF8B04}" keepAlive="1" name="連線2078" type="5" refreshedVersion="0" background="1">
    <dbPr connection="Provider=Microsoft.Mashup.OleDb.1;Data Source=$Workbook$;Location=&quot;Table_1101_112_04&quot;;Extended Properties=&quot;&quot;" commandType="0"/>
  </connection>
  <connection id="1202" xr16:uid="{5A04B8CE-90D1-48B6-BE32-FF0FE6B91700}" keepAlive="1" name="連線2079" type="5" refreshedVersion="0" background="1">
    <dbPr connection="Provider=Microsoft.Mashup.OleDb.1;Data Source=$Workbook$;Location=&quot;Table_2912_112_06&quot;;Extended Properties=&quot;&quot;" commandType="0"/>
  </connection>
  <connection id="1203" xr16:uid="{81AB693E-8371-4FEB-B1D8-5E84A848E3CC}" keepAlive="1" name="連線208" type="5" refreshedVersion="0" background="1">
    <dbPr connection="Provider=Microsoft.Mashup.OleDb.1;Data Source=$Workbook$;Location=&quot;Table_2002_113_01&quot;;Extended Properties=&quot;&quot;" commandType="0"/>
  </connection>
  <connection id="1204" xr16:uid="{444F24E2-04E8-43A3-8FE0-731703068995}" keepAlive="1" name="連線2080" type="5" refreshedVersion="0" background="1">
    <dbPr connection="Provider=Microsoft.Mashup.OleDb.1;Data Source=$Workbook$;Location=&quot;Table_2912_112_05&quot;;Extended Properties=&quot;&quot;" commandType="0"/>
  </connection>
  <connection id="1205" xr16:uid="{DD87C088-BFF0-409C-9E65-5769FE1397EC}" keepAlive="1" name="連線2081" type="5" refreshedVersion="0" background="1">
    <dbPr connection="Provider=Microsoft.Mashup.OleDb.1;Data Source=$Workbook$;Location=&quot;Table_2912_112_04&quot;;Extended Properties=&quot;&quot;" commandType="0"/>
  </connection>
  <connection id="1206" xr16:uid="{E0D392F5-077B-4D9C-B16A-8553BEE9D5A8}" keepAlive="1" name="連線2082" type="5" refreshedVersion="0" background="1">
    <dbPr connection="Provider=Microsoft.Mashup.OleDb.1;Data Source=$Workbook$;Location=&quot;Table_2002_112_06&quot;;Extended Properties=&quot;&quot;" commandType="0"/>
  </connection>
  <connection id="1207" xr16:uid="{86335339-75BD-432C-BF20-60203A2A1006}" keepAlive="1" name="連線2083" type="5" refreshedVersion="0" background="1">
    <dbPr connection="Provider=Microsoft.Mashup.OleDb.1;Data Source=$Workbook$;Location=&quot;Table_2002_112_05&quot;;Extended Properties=&quot;&quot;" commandType="0"/>
  </connection>
  <connection id="1208" xr16:uid="{54916F75-2828-4736-87AF-6C7254539F60}" keepAlive="1" name="連線2084" type="5" refreshedVersion="0" background="1">
    <dbPr connection="Provider=Microsoft.Mashup.OleDb.1;Data Source=$Workbook$;Location=&quot;Table_2002_112_04&quot;;Extended Properties=&quot;&quot;" commandType="0"/>
  </connection>
  <connection id="1209" xr16:uid="{11C8E0DA-EF0A-4696-B14E-49CBEDC9939E}" keepAlive="1" name="連線2085" type="5" refreshedVersion="0" background="1">
    <dbPr connection="Provider=Microsoft.Mashup.OleDb.1;Data Source=$Workbook$;Location=&quot;Table_00878_112_06&quot;;Extended Properties=&quot;&quot;" commandType="0"/>
  </connection>
  <connection id="1210" xr16:uid="{668E877A-16AB-4DD4-BF0C-30A2934BED24}" keepAlive="1" name="連線2086" type="5" refreshedVersion="0" background="1">
    <dbPr connection="Provider=Microsoft.Mashup.OleDb.1;Data Source=$Workbook$;Location=&quot;Table_00878_112_05&quot;;Extended Properties=&quot;&quot;" commandType="0"/>
  </connection>
  <connection id="1211" xr16:uid="{1A685E4A-CEAB-4821-B5CB-C0B1C2FE9F59}" keepAlive="1" name="連線2087" type="5" refreshedVersion="0" background="1">
    <dbPr connection="Provider=Microsoft.Mashup.OleDb.1;Data Source=$Workbook$;Location=&quot;Table_00878_112_04&quot;;Extended Properties=&quot;&quot;" commandType="0"/>
  </connection>
  <connection id="1212" xr16:uid="{C289AC67-685E-432D-9BCE-EB09E16113BD}" keepAlive="1" name="連線2088" type="5" refreshedVersion="0" background="1">
    <dbPr connection="Provider=Microsoft.Mashup.OleDb.1;Data Source=$Workbook$;Location=&quot;Table_2330_113_03&quot;;Extended Properties=&quot;&quot;" commandType="0"/>
  </connection>
  <connection id="1213" xr16:uid="{576C1C02-B835-449E-A886-4BAEE2B257D9}" keepAlive="1" name="連線2089" type="5" refreshedVersion="0" background="1">
    <dbPr connection="Provider=Microsoft.Mashup.OleDb.1;Data Source=$Workbook$;Location=&quot;Table_2330_113_02&quot;;Extended Properties=&quot;&quot;" commandType="0"/>
  </connection>
  <connection id="1214" xr16:uid="{CD0E10A7-50AE-46E6-AD2B-4019F377972A}" keepAlive="1" name="連線209" type="5" refreshedVersion="0" background="1">
    <dbPr connection="Provider=Microsoft.Mashup.OleDb.1;Data Source=$Workbook$;Location=&quot;Table_2002_113_02&quot;;Extended Properties=&quot;&quot;" commandType="0"/>
  </connection>
  <connection id="1215" xr16:uid="{C864598F-57EF-4B04-A63E-79874B82B2AB}" keepAlive="1" name="連線2090" type="5" refreshedVersion="0" background="1">
    <dbPr connection="Provider=Microsoft.Mashup.OleDb.1;Data Source=$Workbook$;Location=&quot;Table_2330_113_01&quot;;Extended Properties=&quot;&quot;" commandType="0"/>
  </connection>
  <connection id="1216" xr16:uid="{2CD6A7FF-B539-4B42-8D66-18BD1C46953F}" keepAlive="1" name="連線2091" type="5" refreshedVersion="0" background="1">
    <dbPr connection="Provider=Microsoft.Mashup.OleDb.1;Data Source=$Workbook$;Location=&quot;Table_1101_113_03&quot;;Extended Properties=&quot;&quot;" commandType="0"/>
  </connection>
  <connection id="1217" xr16:uid="{AB506BDF-51C8-4098-AC9B-F8CF82C422ED}" keepAlive="1" name="連線2092" type="5" refreshedVersion="0" background="1">
    <dbPr connection="Provider=Microsoft.Mashup.OleDb.1;Data Source=$Workbook$;Location=&quot;Table_1101_113_02&quot;;Extended Properties=&quot;&quot;" commandType="0"/>
  </connection>
  <connection id="1218" xr16:uid="{8B9E45EE-98D2-4A04-85E7-E2F9DF9AFB7F}" keepAlive="1" name="連線2093" type="5" refreshedVersion="0" background="1">
    <dbPr connection="Provider=Microsoft.Mashup.OleDb.1;Data Source=$Workbook$;Location=&quot;Table_1101_113_01&quot;;Extended Properties=&quot;&quot;" commandType="0"/>
  </connection>
  <connection id="1219" xr16:uid="{54E24288-F092-42AB-8E26-77A144F0F1FE}" keepAlive="1" name="連線2094" type="5" refreshedVersion="0" background="1">
    <dbPr connection="Provider=Microsoft.Mashup.OleDb.1;Data Source=$Workbook$;Location=&quot;Table_2912_113_03&quot;;Extended Properties=&quot;&quot;" commandType="0"/>
  </connection>
  <connection id="1220" xr16:uid="{DADCF887-03DD-4EC2-BE1D-93F5385966D0}" keepAlive="1" name="連線2095" type="5" refreshedVersion="0" background="1">
    <dbPr connection="Provider=Microsoft.Mashup.OleDb.1;Data Source=$Workbook$;Location=&quot;Table_2912_113_02&quot;;Extended Properties=&quot;&quot;" commandType="0"/>
  </connection>
  <connection id="1221" xr16:uid="{95C9295A-3541-4AF9-BFD3-D14B8EA1B5FF}" keepAlive="1" name="連線2096" type="5" refreshedVersion="0" background="1">
    <dbPr connection="Provider=Microsoft.Mashup.OleDb.1;Data Source=$Workbook$;Location=&quot;Table_2912_113_01&quot;;Extended Properties=&quot;&quot;" commandType="0"/>
  </connection>
  <connection id="1222" xr16:uid="{7CABB1A6-AE28-479F-B69D-249C2A43F83D}" keepAlive="1" name="連線2097" type="5" refreshedVersion="0" background="1">
    <dbPr connection="Provider=Microsoft.Mashup.OleDb.1;Data Source=$Workbook$;Location=&quot;Table_2002_113_03&quot;;Extended Properties=&quot;&quot;" commandType="0"/>
  </connection>
  <connection id="1223" xr16:uid="{2DF71699-9B07-41D5-AC51-F0B969C8D6B4}" keepAlive="1" name="連線2098" type="5" refreshedVersion="0" background="1">
    <dbPr connection="Provider=Microsoft.Mashup.OleDb.1;Data Source=$Workbook$;Location=&quot;Table_2002_113_02&quot;;Extended Properties=&quot;&quot;" commandType="0"/>
  </connection>
  <connection id="1224" xr16:uid="{5921FA36-2BB4-4D1B-BC67-A975B8912098}" keepAlive="1" name="連線2099" type="5" refreshedVersion="0" background="1">
    <dbPr connection="Provider=Microsoft.Mashup.OleDb.1;Data Source=$Workbook$;Location=&quot;Table_2002_113_01&quot;;Extended Properties=&quot;&quot;" commandType="0"/>
  </connection>
  <connection id="1225" xr16:uid="{DCA2A9DB-9FD1-49CF-B819-316B8CB124BC}" keepAlive="1" name="連線21" type="5" refreshedVersion="0" background="1">
    <dbPr connection="Provider=Microsoft.Mashup.OleDb.1;Data Source=$Workbook$;Location=&quot;Table 4&quot;;Extended Properties=&quot;&quot;" commandType="0"/>
  </connection>
  <connection id="1226" xr16:uid="{ADABF64E-AF1D-40F8-B2BD-D902BD50D9B9}" keepAlive="1" name="連線210" type="5" refreshedVersion="0" background="1">
    <dbPr connection="Provider=Microsoft.Mashup.OleDb.1;Data Source=$Workbook$;Location=&quot;Table_2002_113_03&quot;;Extended Properties=&quot;&quot;" commandType="0"/>
  </connection>
  <connection id="1227" xr16:uid="{82B5FD5F-B33F-40A2-A813-BC133FA76C95}" keepAlive="1" name="連線2100" type="5" refreshedVersion="0" background="1">
    <dbPr connection="Provider=Microsoft.Mashup.OleDb.1;Data Source=$Workbook$;Location=&quot;Table_00878_113_03&quot;;Extended Properties=&quot;&quot;" commandType="0"/>
  </connection>
  <connection id="1228" xr16:uid="{1C9B8433-6150-4A37-B29B-D6B144FEF1A0}" keepAlive="1" name="連線2101" type="5" refreshedVersion="0" background="1">
    <dbPr connection="Provider=Microsoft.Mashup.OleDb.1;Data Source=$Workbook$;Location=&quot;Table_00878_113_02&quot;;Extended Properties=&quot;&quot;" commandType="0"/>
  </connection>
  <connection id="1229" xr16:uid="{9B0A722F-426F-489C-AFD7-5FE44256F688}" keepAlive="1" name="連線2102" type="5" refreshedVersion="0" background="1">
    <dbPr connection="Provider=Microsoft.Mashup.OleDb.1;Data Source=$Workbook$;Location=&quot;Table_00878_113_01&quot;;Extended Properties=&quot;&quot;" commandType="0"/>
  </connection>
  <connection id="1230" xr16:uid="{19414983-A513-4A38-B66A-FC8345621359}" keepAlive="1" name="連線2103" type="5" refreshedVersion="0" background="1">
    <dbPr connection="Provider=Microsoft.Mashup.OleDb.1;Data Source=$Workbook$;Location=&quot;Table_2330_112_11&quot;;Extended Properties=&quot;&quot;" commandType="0"/>
  </connection>
  <connection id="1231" xr16:uid="{7AEB5C38-876D-4078-95F8-243AE1ECBF46}" keepAlive="1" name="連線2104" type="5" refreshedVersion="0" background="1">
    <dbPr connection="Provider=Microsoft.Mashup.OleDb.1;Data Source=$Workbook$;Location=&quot;Table_2330_112_10&quot;;Extended Properties=&quot;&quot;" commandType="0"/>
  </connection>
  <connection id="1232" xr16:uid="{F70C3FCE-CD48-4CF1-ABBA-F1284DECC4AD}" keepAlive="1" name="連線2105" type="5" refreshedVersion="0" background="1">
    <dbPr connection="Provider=Microsoft.Mashup.OleDb.1;Data Source=$Workbook$;Location=&quot;Table_2330_112_09&quot;;Extended Properties=&quot;&quot;" commandType="0"/>
  </connection>
  <connection id="1233" xr16:uid="{304865E3-7151-44F1-995A-91D6BB974255}" keepAlive="1" name="連線2106" type="5" refreshedVersion="0" background="1">
    <dbPr connection="Provider=Microsoft.Mashup.OleDb.1;Data Source=$Workbook$;Location=&quot;Table_1101_112_11&quot;;Extended Properties=&quot;&quot;" commandType="0"/>
  </connection>
  <connection id="1234" xr16:uid="{3511663F-98A5-498F-8B54-A5641128D56A}" keepAlive="1" name="連線2107" type="5" refreshedVersion="0" background="1">
    <dbPr connection="Provider=Microsoft.Mashup.OleDb.1;Data Source=$Workbook$;Location=&quot;Table_1101_112_10&quot;;Extended Properties=&quot;&quot;" commandType="0"/>
  </connection>
  <connection id="1235" xr16:uid="{11D64C7F-9D5B-4A07-A983-71D928C59868}" keepAlive="1" name="連線2108" type="5" refreshedVersion="0" background="1">
    <dbPr connection="Provider=Microsoft.Mashup.OleDb.1;Data Source=$Workbook$;Location=&quot;Table_1101_112_09&quot;;Extended Properties=&quot;&quot;" commandType="0"/>
  </connection>
  <connection id="1236" xr16:uid="{152D243D-B980-4EB0-AA38-BD3AAFD08FBD}" keepAlive="1" name="連線2109" type="5" refreshedVersion="0" background="1">
    <dbPr connection="Provider=Microsoft.Mashup.OleDb.1;Data Source=$Workbook$;Location=&quot;Table_2912_112_11&quot;;Extended Properties=&quot;&quot;" commandType="0"/>
  </connection>
  <connection id="1237" xr16:uid="{E0E09D09-379F-4AD0-9D9A-7AD5A72BA9E9}" keepAlive="1" name="連線211" type="5" refreshedVersion="0" background="1">
    <dbPr connection="Provider=Microsoft.Mashup.OleDb.1;Data Source=$Workbook$;Location=&quot;Table_2882_113_01&quot;;Extended Properties=&quot;&quot;" commandType="0"/>
  </connection>
  <connection id="1238" xr16:uid="{2B99E22A-B04F-429B-B4D9-004D180F34C2}" keepAlive="1" name="連線2110" type="5" refreshedVersion="0" background="1">
    <dbPr connection="Provider=Microsoft.Mashup.OleDb.1;Data Source=$Workbook$;Location=&quot;Table_2912_112_10&quot;;Extended Properties=&quot;&quot;" commandType="0"/>
  </connection>
  <connection id="1239" xr16:uid="{A041D975-FC33-4DA3-AAFA-CE1511444B25}" keepAlive="1" name="連線2111" type="5" refreshedVersion="0" background="1">
    <dbPr connection="Provider=Microsoft.Mashup.OleDb.1;Data Source=$Workbook$;Location=&quot;Table_2912_112_09&quot;;Extended Properties=&quot;&quot;" commandType="0"/>
  </connection>
  <connection id="1240" xr16:uid="{2A61B4AA-7737-48A8-B3F6-B3D9F4BA084A}" keepAlive="1" name="連線2112" type="5" refreshedVersion="0" background="1">
    <dbPr connection="Provider=Microsoft.Mashup.OleDb.1;Data Source=$Workbook$;Location=&quot;Table_2002_112_11&quot;;Extended Properties=&quot;&quot;" commandType="0"/>
  </connection>
  <connection id="1241" xr16:uid="{0478C9DE-42E1-4901-82F4-BC65C4CE8615}" keepAlive="1" name="連線2113" type="5" refreshedVersion="0" background="1">
    <dbPr connection="Provider=Microsoft.Mashup.OleDb.1;Data Source=$Workbook$;Location=&quot;Table_2002_112_10&quot;;Extended Properties=&quot;&quot;" commandType="0"/>
  </connection>
  <connection id="1242" xr16:uid="{7C211B16-239E-44CE-B08A-D3A35161E3CB}" keepAlive="1" name="連線2114" type="5" refreshedVersion="0" background="1">
    <dbPr connection="Provider=Microsoft.Mashup.OleDb.1;Data Source=$Workbook$;Location=&quot;Table_2002_112_09&quot;;Extended Properties=&quot;&quot;" commandType="0"/>
  </connection>
  <connection id="1243" xr16:uid="{D0D19765-6892-4E9A-9E1B-8460217E9C5B}" keepAlive="1" name="連線2115" type="5" refreshedVersion="0" background="1">
    <dbPr connection="Provider=Microsoft.Mashup.OleDb.1;Data Source=$Workbook$;Location=&quot;Table_00878_112_11&quot;;Extended Properties=&quot;&quot;" commandType="0"/>
  </connection>
  <connection id="1244" xr16:uid="{AEE09143-2817-49FF-8406-80368DAE5AD7}" keepAlive="1" name="連線2116" type="5" refreshedVersion="0" background="1">
    <dbPr connection="Provider=Microsoft.Mashup.OleDb.1;Data Source=$Workbook$;Location=&quot;Table_00878_112_10&quot;;Extended Properties=&quot;&quot;" commandType="0"/>
  </connection>
  <connection id="1245" xr16:uid="{C5291AAD-4E26-4C76-A7C8-F174DE6ABB1F}" keepAlive="1" name="連線2117" type="5" refreshedVersion="0" background="1">
    <dbPr connection="Provider=Microsoft.Mashup.OleDb.1;Data Source=$Workbook$;Location=&quot;Table_00878_112_09&quot;;Extended Properties=&quot;&quot;" commandType="0"/>
  </connection>
  <connection id="1246" xr16:uid="{6D5E3E37-14FE-4F9F-B584-03170B671EEF}" keepAlive="1" name="連線2118" type="5" refreshedVersion="0" background="1">
    <dbPr connection="Provider=Microsoft.Mashup.OleDb.1;Data Source=$Workbook$;Location=&quot;Table_2330_112_09&quot;;Extended Properties=&quot;&quot;" commandType="0"/>
  </connection>
  <connection id="1247" xr16:uid="{EA5E4FD5-E79B-447B-BA06-C313E7FDB10B}" keepAlive="1" name="連線2119" type="5" refreshedVersion="0" background="1">
    <dbPr connection="Provider=Microsoft.Mashup.OleDb.1;Data Source=$Workbook$;Location=&quot;Table_2330_112_08&quot;;Extended Properties=&quot;&quot;" commandType="0"/>
  </connection>
  <connection id="1248" xr16:uid="{C10A7576-B005-4D91-B613-240B36FA1486}" keepAlive="1" name="連線212" type="5" refreshedVersion="0" background="1">
    <dbPr connection="Provider=Microsoft.Mashup.OleDb.1;Data Source=$Workbook$;Location=&quot;Table_2882_113_02&quot;;Extended Properties=&quot;&quot;" commandType="0"/>
  </connection>
  <connection id="1249" xr16:uid="{75B7F01E-182A-477F-BDA0-D795D75D373E}" keepAlive="1" name="連線2120" type="5" refreshedVersion="0" background="1">
    <dbPr connection="Provider=Microsoft.Mashup.OleDb.1;Data Source=$Workbook$;Location=&quot;Table_2330_112_07&quot;;Extended Properties=&quot;&quot;" commandType="0"/>
  </connection>
  <connection id="1250" xr16:uid="{93E541AD-C945-4310-BCA9-8A045BE09993}" keepAlive="1" name="連線2121" type="5" refreshedVersion="0" background="1">
    <dbPr connection="Provider=Microsoft.Mashup.OleDb.1;Data Source=$Workbook$;Location=&quot;Table_1101_112_09&quot;;Extended Properties=&quot;&quot;" commandType="0"/>
  </connection>
  <connection id="1251" xr16:uid="{EFFFC762-4E67-4502-BA5C-BECFBB5C2BD8}" keepAlive="1" name="連線2122" type="5" refreshedVersion="0" background="1">
    <dbPr connection="Provider=Microsoft.Mashup.OleDb.1;Data Source=$Workbook$;Location=&quot;Table_1101_112_08&quot;;Extended Properties=&quot;&quot;" commandType="0"/>
  </connection>
  <connection id="1252" xr16:uid="{2A468CCC-A9F1-49ED-B3A8-D13B9C033FED}" keepAlive="1" name="連線2123" type="5" refreshedVersion="0" background="1">
    <dbPr connection="Provider=Microsoft.Mashup.OleDb.1;Data Source=$Workbook$;Location=&quot;Table_1101_112_07&quot;;Extended Properties=&quot;&quot;" commandType="0"/>
  </connection>
  <connection id="1253" xr16:uid="{CDDB5A7A-C121-4837-9482-D2EFD823912E}" keepAlive="1" name="連線2124" type="5" refreshedVersion="0" background="1">
    <dbPr connection="Provider=Microsoft.Mashup.OleDb.1;Data Source=$Workbook$;Location=&quot;Table_2912_112_09&quot;;Extended Properties=&quot;&quot;" commandType="0"/>
  </connection>
  <connection id="1254" xr16:uid="{F0488EAA-11B9-4F37-9616-4CF24CF33B1B}" keepAlive="1" name="連線2125" type="5" refreshedVersion="0" background="1">
    <dbPr connection="Provider=Microsoft.Mashup.OleDb.1;Data Source=$Workbook$;Location=&quot;Table_2912_112_08&quot;;Extended Properties=&quot;&quot;" commandType="0"/>
  </connection>
  <connection id="1255" xr16:uid="{ADDE319B-677C-4264-9F62-3DD1387ACD1A}" keepAlive="1" name="連線2126" type="5" refreshedVersion="0" background="1">
    <dbPr connection="Provider=Microsoft.Mashup.OleDb.1;Data Source=$Workbook$;Location=&quot;Table_2912_112_07&quot;;Extended Properties=&quot;&quot;" commandType="0"/>
  </connection>
  <connection id="1256" xr16:uid="{9CE36697-D36C-4519-AF62-7E074AC5F12A}" keepAlive="1" name="連線2127" type="5" refreshedVersion="0" background="1">
    <dbPr connection="Provider=Microsoft.Mashup.OleDb.1;Data Source=$Workbook$;Location=&quot;Table_2002_112_09&quot;;Extended Properties=&quot;&quot;" commandType="0"/>
  </connection>
  <connection id="1257" xr16:uid="{DF761C79-8283-47C9-BA10-5DBC042EAFDE}" keepAlive="1" name="連線2128" type="5" refreshedVersion="0" background="1">
    <dbPr connection="Provider=Microsoft.Mashup.OleDb.1;Data Source=$Workbook$;Location=&quot;Table_2002_112_08&quot;;Extended Properties=&quot;&quot;" commandType="0"/>
  </connection>
  <connection id="1258" xr16:uid="{7B7424D5-A9FF-4FDE-9971-BC38764910D3}" keepAlive="1" name="連線2129" type="5" refreshedVersion="0" background="1">
    <dbPr connection="Provider=Microsoft.Mashup.OleDb.1;Data Source=$Workbook$;Location=&quot;Table_2002_112_07&quot;;Extended Properties=&quot;&quot;" commandType="0"/>
  </connection>
  <connection id="1259" xr16:uid="{72144D2E-927B-4BCA-936F-08BB6AA4F4C6}" keepAlive="1" name="連線213" type="5" refreshedVersion="0" background="1">
    <dbPr connection="Provider=Microsoft.Mashup.OleDb.1;Data Source=$Workbook$;Location=&quot;Table_2882_113_03&quot;;Extended Properties=&quot;&quot;" commandType="0"/>
  </connection>
  <connection id="1260" xr16:uid="{1AACB924-AE6C-41B1-A9D0-D4718A2429B6}" keepAlive="1" name="連線2130" type="5" refreshedVersion="0" background="1">
    <dbPr connection="Provider=Microsoft.Mashup.OleDb.1;Data Source=$Workbook$;Location=&quot;Table_00878_112_09&quot;;Extended Properties=&quot;&quot;" commandType="0"/>
  </connection>
  <connection id="1261" xr16:uid="{7045EB21-CD07-4038-BD27-18CF2A1F0B9C}" keepAlive="1" name="連線2131" type="5" refreshedVersion="0" background="1">
    <dbPr connection="Provider=Microsoft.Mashup.OleDb.1;Data Source=$Workbook$;Location=&quot;Table_00878_112_08&quot;;Extended Properties=&quot;&quot;" commandType="0"/>
  </connection>
  <connection id="1262" xr16:uid="{07C099AB-6CBE-4FD6-8E7D-18857CC58674}" keepAlive="1" name="連線2132" type="5" refreshedVersion="0" background="1">
    <dbPr connection="Provider=Microsoft.Mashup.OleDb.1;Data Source=$Workbook$;Location=&quot;Table_00878_112_07&quot;;Extended Properties=&quot;&quot;" commandType="0"/>
  </connection>
  <connection id="1263" xr16:uid="{67351118-D203-458D-8859-F7E943AB2CE2}" keepAlive="1" name="連線2133" type="5" refreshedVersion="0" background="1">
    <dbPr connection="Provider=Microsoft.Mashup.OleDb.1;Data Source=$Workbook$;Location=&quot;Table_2330_112_09&quot;;Extended Properties=&quot;&quot;" commandType="0"/>
  </connection>
  <connection id="1264" xr16:uid="{C92265FE-DBFA-4D6B-94EE-90595054DE16}" keepAlive="1" name="連線2134" type="5" refreshedVersion="0" background="1">
    <dbPr connection="Provider=Microsoft.Mashup.OleDb.1;Data Source=$Workbook$;Location=&quot;Table_2330_112_08&quot;;Extended Properties=&quot;&quot;" commandType="0"/>
  </connection>
  <connection id="1265" xr16:uid="{8AB4ABA8-84BF-49A3-AF96-1AA8477A5E50}" keepAlive="1" name="連線2135" type="5" refreshedVersion="0" background="1">
    <dbPr connection="Provider=Microsoft.Mashup.OleDb.1;Data Source=$Workbook$;Location=&quot;Table_2330_112_07&quot;;Extended Properties=&quot;&quot;" commandType="0"/>
  </connection>
  <connection id="1266" xr16:uid="{B9B231A9-5DD4-4789-B53D-BCD08D8C9D02}" keepAlive="1" name="連線2136" type="5" refreshedVersion="0" background="1">
    <dbPr connection="Provider=Microsoft.Mashup.OleDb.1;Data Source=$Workbook$;Location=&quot;Table_0056_112_09&quot;;Extended Properties=&quot;&quot;" commandType="0"/>
  </connection>
  <connection id="1267" xr16:uid="{4C62719E-A402-4106-BDEE-7711A19DF95E}" keepAlive="1" name="連線2137" type="5" refreshedVersion="0" background="1">
    <dbPr connection="Provider=Microsoft.Mashup.OleDb.1;Data Source=$Workbook$;Location=&quot;Table_0056_112_08&quot;;Extended Properties=&quot;&quot;" commandType="0"/>
  </connection>
  <connection id="1268" xr16:uid="{E2A2D7E7-AA19-4A8A-8F6B-DBABA6BD4236}" keepAlive="1" name="連線2138" type="5" refreshedVersion="0" background="1">
    <dbPr connection="Provider=Microsoft.Mashup.OleDb.1;Data Source=$Workbook$;Location=&quot;Table_0056_112_07&quot;;Extended Properties=&quot;&quot;" commandType="0"/>
  </connection>
  <connection id="1269" xr16:uid="{3E58461C-BFA5-4D02-B520-173A88533313}" keepAlive="1" name="連線2139" type="5" refreshedVersion="0" background="1">
    <dbPr connection="Provider=Microsoft.Mashup.OleDb.1;Data Source=$Workbook$;Location=&quot;Table_2912_112_09&quot;;Extended Properties=&quot;&quot;" commandType="0"/>
  </connection>
  <connection id="1270" xr16:uid="{A106F936-10A4-4E75-857F-E6F9F9EBE346}" keepAlive="1" name="連線214" type="5" refreshedVersion="0" background="1">
    <dbPr connection="Provider=Microsoft.Mashup.OleDb.1;Data Source=$Workbook$;Location=&quot;Table_2330_113_01&quot;;Extended Properties=&quot;&quot;" commandType="0"/>
  </connection>
  <connection id="1271" xr16:uid="{E359A77B-E386-42F0-B4FA-297C3EB667D0}" keepAlive="1" name="連線2140" type="5" refreshedVersion="0" background="1">
    <dbPr connection="Provider=Microsoft.Mashup.OleDb.1;Data Source=$Workbook$;Location=&quot;Table_2912_112_08&quot;;Extended Properties=&quot;&quot;" commandType="0"/>
  </connection>
  <connection id="1272" xr16:uid="{F6CFF549-5AED-4533-8DE4-E499871DD416}" keepAlive="1" name="連線2141" type="5" refreshedVersion="0" background="1">
    <dbPr connection="Provider=Microsoft.Mashup.OleDb.1;Data Source=$Workbook$;Location=&quot;Table_2912_112_07&quot;;Extended Properties=&quot;&quot;" commandType="0"/>
  </connection>
  <connection id="1273" xr16:uid="{D8560167-20AC-4D56-B20F-88A5A7BA8A5A}" keepAlive="1" name="連線2142" type="5" refreshedVersion="0" background="1">
    <dbPr connection="Provider=Microsoft.Mashup.OleDb.1;Data Source=$Workbook$;Location=&quot;Table_2002_112_09&quot;;Extended Properties=&quot;&quot;" commandType="0"/>
  </connection>
  <connection id="1274" xr16:uid="{36A26332-1370-49A3-A3E8-A8F4D2ACFA2C}" keepAlive="1" name="連線2143" type="5" refreshedVersion="0" background="1">
    <dbPr connection="Provider=Microsoft.Mashup.OleDb.1;Data Source=$Workbook$;Location=&quot;Table_2002_112_08&quot;;Extended Properties=&quot;&quot;" commandType="0"/>
  </connection>
  <connection id="1275" xr16:uid="{DBD17A19-4026-4168-ACC4-8FADC97B3A9F}" keepAlive="1" name="連線2144" type="5" refreshedVersion="0" background="1">
    <dbPr connection="Provider=Microsoft.Mashup.OleDb.1;Data Source=$Workbook$;Location=&quot;Table_2002_112_07&quot;;Extended Properties=&quot;&quot;" commandType="0"/>
  </connection>
  <connection id="1276" xr16:uid="{8823D174-EFB3-491D-BC83-69923153D0B6}" keepAlive="1" name="連線2145" type="5" refreshedVersion="0" background="1">
    <dbPr connection="Provider=Microsoft.Mashup.OleDb.1;Data Source=$Workbook$;Location=&quot;Table_00878_112_09&quot;;Extended Properties=&quot;&quot;" commandType="0"/>
  </connection>
  <connection id="1277" xr16:uid="{BDD5E0A8-B59C-4E74-A303-7A168D622517}" keepAlive="1" name="連線2146" type="5" refreshedVersion="0" background="1">
    <dbPr connection="Provider=Microsoft.Mashup.OleDb.1;Data Source=$Workbook$;Location=&quot;Table_00878_112_08&quot;;Extended Properties=&quot;&quot;" commandType="0"/>
  </connection>
  <connection id="1278" xr16:uid="{9D3DF9B4-877E-47D9-B307-AF43FD1D3FE8}" keepAlive="1" name="連線2147" type="5" refreshedVersion="0" background="1">
    <dbPr connection="Provider=Microsoft.Mashup.OleDb.1;Data Source=$Workbook$;Location=&quot;Table_00878_112_07&quot;;Extended Properties=&quot;&quot;" commandType="0"/>
  </connection>
  <connection id="1279" xr16:uid="{CA4F380C-B995-4F84-A9CC-40FC26C9EC65}" keepAlive="1" name="連線2148" type="5" refreshedVersion="0" background="1">
    <dbPr connection="Provider=Microsoft.Mashup.OleDb.1;Data Source=$Workbook$;Location=&quot;Table_2330_113_03&quot;;Extended Properties=&quot;&quot;" commandType="0"/>
  </connection>
  <connection id="1280" xr16:uid="{13CE070C-A535-4D4D-91DD-9FBEE34DB943}" keepAlive="1" name="連線2149" type="5" refreshedVersion="0" background="1">
    <dbPr connection="Provider=Microsoft.Mashup.OleDb.1;Data Source=$Workbook$;Location=&quot;Table_2330_113_02&quot;;Extended Properties=&quot;&quot;" commandType="0"/>
  </connection>
  <connection id="1281" xr16:uid="{29D5A9BB-927C-431F-A3C3-55CE8EC097C0}" keepAlive="1" name="連線215" type="5" refreshedVersion="0" background="1">
    <dbPr connection="Provider=Microsoft.Mashup.OleDb.1;Data Source=$Workbook$;Location=&quot;Table_2330_113_02&quot;;Extended Properties=&quot;&quot;" commandType="0"/>
  </connection>
  <connection id="1282" xr16:uid="{DDCB9048-E5FC-4311-ADDB-75E31D0A7908}" keepAlive="1" name="連線2150" type="5" refreshedVersion="0" background="1">
    <dbPr connection="Provider=Microsoft.Mashup.OleDb.1;Data Source=$Workbook$;Location=&quot;Table_2330_113_01&quot;;Extended Properties=&quot;&quot;" commandType="0"/>
  </connection>
  <connection id="1283" xr16:uid="{D452CFF9-B2EA-49BE-BC7D-D7D8DB78056C}" keepAlive="1" name="連線2151" type="5" refreshedVersion="0" background="1">
    <dbPr connection="Provider=Microsoft.Mashup.OleDb.1;Data Source=$Workbook$;Location=&quot;Table_1101_113_03&quot;;Extended Properties=&quot;&quot;" commandType="0"/>
  </connection>
  <connection id="1284" xr16:uid="{9EC8A385-9AC3-4E86-A842-42847C46C0B4}" keepAlive="1" name="連線2152" type="5" refreshedVersion="0" background="1">
    <dbPr connection="Provider=Microsoft.Mashup.OleDb.1;Data Source=$Workbook$;Location=&quot;Table_1101_113_02&quot;;Extended Properties=&quot;&quot;" commandType="0"/>
  </connection>
  <connection id="1285" xr16:uid="{2D6D0CAB-9829-49B7-951B-3ECFF541F2B8}" keepAlive="1" name="連線2153" type="5" refreshedVersion="0" background="1">
    <dbPr connection="Provider=Microsoft.Mashup.OleDb.1;Data Source=$Workbook$;Location=&quot;Table_1101_113_01&quot;;Extended Properties=&quot;&quot;" commandType="0"/>
  </connection>
  <connection id="1286" xr16:uid="{82D8845B-AA09-4B8C-A4C7-CFFA1C4F3344}" keepAlive="1" name="連線2154" type="5" refreshedVersion="0" background="1">
    <dbPr connection="Provider=Microsoft.Mashup.OleDb.1;Data Source=$Workbook$;Location=&quot;Table_2912_113_03&quot;;Extended Properties=&quot;&quot;" commandType="0"/>
  </connection>
  <connection id="1287" xr16:uid="{4F75C874-6900-4448-B6FC-487EE5445B33}" keepAlive="1" name="連線2155" type="5" refreshedVersion="0" background="1">
    <dbPr connection="Provider=Microsoft.Mashup.OleDb.1;Data Source=$Workbook$;Location=&quot;Table_2912_113_02&quot;;Extended Properties=&quot;&quot;" commandType="0"/>
  </connection>
  <connection id="1288" xr16:uid="{5575D510-5A4F-4280-868A-47B857CEE5E2}" keepAlive="1" name="連線2156" type="5" refreshedVersion="0" background="1">
    <dbPr connection="Provider=Microsoft.Mashup.OleDb.1;Data Source=$Workbook$;Location=&quot;Table_2912_113_01&quot;;Extended Properties=&quot;&quot;" commandType="0"/>
  </connection>
  <connection id="1289" xr16:uid="{A5A3531F-1122-4C9C-ACDD-19D84AA0FCF6}" keepAlive="1" name="連線2157" type="5" refreshedVersion="0" background="1">
    <dbPr connection="Provider=Microsoft.Mashup.OleDb.1;Data Source=$Workbook$;Location=&quot;Table_2002_113_03&quot;;Extended Properties=&quot;&quot;" commandType="0"/>
  </connection>
  <connection id="1290" xr16:uid="{37F28BCF-191A-46C2-824F-8A9C6BA8B797}" keepAlive="1" name="連線2158" type="5" refreshedVersion="0" background="1">
    <dbPr connection="Provider=Microsoft.Mashup.OleDb.1;Data Source=$Workbook$;Location=&quot;Table_2002_113_02&quot;;Extended Properties=&quot;&quot;" commandType="0"/>
  </connection>
  <connection id="1291" xr16:uid="{14834657-128E-4324-AEAA-C568849A3798}" keepAlive="1" name="連線2159" type="5" refreshedVersion="0" background="1">
    <dbPr connection="Provider=Microsoft.Mashup.OleDb.1;Data Source=$Workbook$;Location=&quot;Table_2002_113_01&quot;;Extended Properties=&quot;&quot;" commandType="0"/>
  </connection>
  <connection id="1292" xr16:uid="{828A4EEF-AD29-4C1B-B8AB-F509A2252693}" keepAlive="1" name="連線216" type="5" refreshedVersion="0" background="1">
    <dbPr connection="Provider=Microsoft.Mashup.OleDb.1;Data Source=$Workbook$;Location=&quot;Table_2330_113_03&quot;;Extended Properties=&quot;&quot;" commandType="0"/>
  </connection>
  <connection id="1293" xr16:uid="{64045CBD-0C32-4765-B593-0C6DD77F5B5C}" keepAlive="1" name="連線2160" type="5" refreshedVersion="0" background="1">
    <dbPr connection="Provider=Microsoft.Mashup.OleDb.1;Data Source=$Workbook$;Location=&quot;Table_2882_113_03&quot;;Extended Properties=&quot;&quot;" commandType="0"/>
  </connection>
  <connection id="1294" xr16:uid="{4786C935-8438-43AB-89C6-B5C9DCC521A6}" keepAlive="1" name="連線2161" type="5" refreshedVersion="0" background="1">
    <dbPr connection="Provider=Microsoft.Mashup.OleDb.1;Data Source=$Workbook$;Location=&quot;Table_2882_113_02&quot;;Extended Properties=&quot;&quot;" commandType="0"/>
  </connection>
  <connection id="1295" xr16:uid="{338CB726-B67F-44C6-B8FA-4D5E255CBBA7}" keepAlive="1" name="連線2162" type="5" refreshedVersion="0" background="1">
    <dbPr connection="Provider=Microsoft.Mashup.OleDb.1;Data Source=$Workbook$;Location=&quot;Table_2882_113_01&quot;;Extended Properties=&quot;&quot;" commandType="0"/>
  </connection>
  <connection id="1296" xr16:uid="{5BB8B48D-CE68-44AA-A734-FA58FA938029}" keepAlive="1" name="連線2163" type="5" refreshedVersion="0" background="1">
    <dbPr connection="Provider=Microsoft.Mashup.OleDb.1;Data Source=$Workbook$;Location=&quot;Table_2330_113_03&quot;;Extended Properties=&quot;&quot;" commandType="0"/>
  </connection>
  <connection id="1297" xr16:uid="{87A267F5-BD19-4673-B48B-BA1FED7A55B1}" keepAlive="1" name="連線2164" type="5" refreshedVersion="0" background="1">
    <dbPr connection="Provider=Microsoft.Mashup.OleDb.1;Data Source=$Workbook$;Location=&quot;Table_2330_113_02&quot;;Extended Properties=&quot;&quot;" commandType="0"/>
  </connection>
  <connection id="1298" xr16:uid="{1E2DDFBB-482B-4487-9855-0C99E5FDE022}" keepAlive="1" name="連線2165" type="5" refreshedVersion="0" background="1">
    <dbPr connection="Provider=Microsoft.Mashup.OleDb.1;Data Source=$Workbook$;Location=&quot;Table_2330_113_01&quot;;Extended Properties=&quot;&quot;" commandType="0"/>
  </connection>
  <connection id="1299" xr16:uid="{AA613B7B-8151-4955-BDAC-CDB3566096FF}" keepAlive="1" name="連線2166" type="5" refreshedVersion="0" background="1">
    <dbPr connection="Provider=Microsoft.Mashup.OleDb.1;Data Source=$Workbook$;Location=&quot;Table_00878_113_03&quot;;Extended Properties=&quot;&quot;" commandType="0"/>
  </connection>
  <connection id="1300" xr16:uid="{D6EE716C-5CE8-4F44-BBE9-3C6886E1535C}" keepAlive="1" name="連線2167" type="5" refreshedVersion="0" background="1">
    <dbPr connection="Provider=Microsoft.Mashup.OleDb.1;Data Source=$Workbook$;Location=&quot;Table_00878_113_02&quot;;Extended Properties=&quot;&quot;" commandType="0"/>
  </connection>
  <connection id="1301" xr16:uid="{770F820D-C3D4-4D8D-951E-A84235DB1316}" keepAlive="1" name="連線2168" type="5" refreshedVersion="0" background="1">
    <dbPr connection="Provider=Microsoft.Mashup.OleDb.1;Data Source=$Workbook$;Location=&quot;Table_00878_113_01&quot;;Extended Properties=&quot;&quot;" commandType="0"/>
  </connection>
  <connection id="1302" xr16:uid="{FCA84A4B-EBCA-4556-A119-AA0CA395D46C}" keepAlive="1" name="連線2169" type="5" refreshedVersion="0" background="1">
    <dbPr connection="Provider=Microsoft.Mashup.OleDb.1;Data Source=$Workbook$;Location=&quot;Table_2912_113_03&quot;;Extended Properties=&quot;&quot;" commandType="0"/>
  </connection>
  <connection id="1303" xr16:uid="{3C8A3FE5-FD6C-48F8-BEBB-A98CB13FB6C6}" keepAlive="1" name="連線217" type="5" refreshedVersion="0" background="1">
    <dbPr connection="Provider=Microsoft.Mashup.OleDb.1;Data Source=$Workbook$;Location=&quot;Table_1101_113_01&quot;;Extended Properties=&quot;&quot;" commandType="0"/>
  </connection>
  <connection id="1304" xr16:uid="{C803CDB4-98FF-4E23-BA7D-01382698DC83}" keepAlive="1" name="連線2170" type="5" refreshedVersion="0" background="1">
    <dbPr connection="Provider=Microsoft.Mashup.OleDb.1;Data Source=$Workbook$;Location=&quot;Table_2912_113_02&quot;;Extended Properties=&quot;&quot;" commandType="0"/>
  </connection>
  <connection id="1305" xr16:uid="{DCFA13D3-C6B4-405D-8FCB-1C450EC98E71}" keepAlive="1" name="連線2171" type="5" refreshedVersion="0" background="1">
    <dbPr connection="Provider=Microsoft.Mashup.OleDb.1;Data Source=$Workbook$;Location=&quot;Table_2912_113_01&quot;;Extended Properties=&quot;&quot;" commandType="0"/>
  </connection>
  <connection id="1306" xr16:uid="{083C3B23-5D83-40DA-A760-2C9A1EFAD029}" keepAlive="1" name="連線2172" type="5" refreshedVersion="0" background="1">
    <dbPr connection="Provider=Microsoft.Mashup.OleDb.1;Data Source=$Workbook$;Location=&quot;Table_0056_113_03&quot;;Extended Properties=&quot;&quot;" commandType="0"/>
  </connection>
  <connection id="1307" xr16:uid="{E52DA022-5B07-42D3-9316-7F3CF954E541}" keepAlive="1" name="連線2173" type="5" refreshedVersion="0" background="1">
    <dbPr connection="Provider=Microsoft.Mashup.OleDb.1;Data Source=$Workbook$;Location=&quot;Table_0056_113_02&quot;;Extended Properties=&quot;&quot;" commandType="0"/>
  </connection>
  <connection id="1308" xr16:uid="{9D027F8A-8500-46E1-8465-ABA4DC1A7F5F}" keepAlive="1" name="連線2174" type="5" refreshedVersion="0" background="1">
    <dbPr connection="Provider=Microsoft.Mashup.OleDb.1;Data Source=$Workbook$;Location=&quot;Table_0056_113_01&quot;;Extended Properties=&quot;&quot;" commandType="0"/>
  </connection>
  <connection id="1309" xr16:uid="{2F3DB823-C0AC-4B81-B713-2636278192C2}" keepAlive="1" name="連線2175" type="5" refreshedVersion="0" background="1">
    <dbPr connection="Provider=Microsoft.Mashup.OleDb.1;Data Source=$Workbook$;Location=&quot;Table_2882_113_03&quot;;Extended Properties=&quot;&quot;" commandType="0"/>
  </connection>
  <connection id="1310" xr16:uid="{4982505F-8ECE-4859-9B67-BBD7B96FF0DE}" keepAlive="1" name="連線2176" type="5" refreshedVersion="0" background="1">
    <dbPr connection="Provider=Microsoft.Mashup.OleDb.1;Data Source=$Workbook$;Location=&quot;Table_2882_113_02&quot;;Extended Properties=&quot;&quot;" commandType="0"/>
  </connection>
  <connection id="1311" xr16:uid="{7332B5AA-4E7C-42D5-AC24-D9328853140C}" keepAlive="1" name="連線2177" type="5" refreshedVersion="0" background="1">
    <dbPr connection="Provider=Microsoft.Mashup.OleDb.1;Data Source=$Workbook$;Location=&quot;Table_2882_113_01&quot;;Extended Properties=&quot;&quot;" commandType="0"/>
  </connection>
  <connection id="1312" xr16:uid="{51D6304D-7192-43E5-8F6C-77524B909CC3}" keepAlive="1" name="連線2178" type="5" refreshedVersion="0" background="1">
    <dbPr connection="Provider=Microsoft.Mashup.OleDb.1;Data Source=$Workbook$;Location=&quot;Table_2330_113_03&quot;;Extended Properties=&quot;&quot;" commandType="0"/>
  </connection>
  <connection id="1313" xr16:uid="{FFED1D02-6F97-4AC5-86C1-0D7ED830CB60}" keepAlive="1" name="連線2179" type="5" refreshedVersion="0" background="1">
    <dbPr connection="Provider=Microsoft.Mashup.OleDb.1;Data Source=$Workbook$;Location=&quot;Table_2330_113_02&quot;;Extended Properties=&quot;&quot;" commandType="0"/>
  </connection>
  <connection id="1314" xr16:uid="{6452B571-78AB-4F90-95D2-84387A169FB9}" keepAlive="1" name="連線218" type="5" refreshedVersion="0" background="1">
    <dbPr connection="Provider=Microsoft.Mashup.OleDb.1;Data Source=$Workbook$;Location=&quot;Table_1101_113_02&quot;;Extended Properties=&quot;&quot;" commandType="0"/>
  </connection>
  <connection id="1315" xr16:uid="{3206F525-8DED-407F-AAC0-E1870FA94E62}" keepAlive="1" name="連線2180" type="5" refreshedVersion="0" background="1">
    <dbPr connection="Provider=Microsoft.Mashup.OleDb.1;Data Source=$Workbook$;Location=&quot;Table_2330_113_01&quot;;Extended Properties=&quot;&quot;" commandType="0"/>
  </connection>
  <connection id="1316" xr16:uid="{CFA0340F-E942-4B46-B283-6C3CA645652F}" keepAlive="1" name="連線2181" type="5" refreshedVersion="0" background="1">
    <dbPr connection="Provider=Microsoft.Mashup.OleDb.1;Data Source=$Workbook$;Location=&quot;Table_00878_113_03&quot;;Extended Properties=&quot;&quot;" commandType="0"/>
  </connection>
  <connection id="1317" xr16:uid="{34403A10-D414-4EEE-8894-E58F14D359D3}" keepAlive="1" name="連線2182" type="5" refreshedVersion="0" background="1">
    <dbPr connection="Provider=Microsoft.Mashup.OleDb.1;Data Source=$Workbook$;Location=&quot;Table_00878_113_02&quot;;Extended Properties=&quot;&quot;" commandType="0"/>
  </connection>
  <connection id="1318" xr16:uid="{7DB2EE80-33A8-4B3A-9D53-5BB565F7F78C}" keepAlive="1" name="連線2183" type="5" refreshedVersion="0" background="1">
    <dbPr connection="Provider=Microsoft.Mashup.OleDb.1;Data Source=$Workbook$;Location=&quot;Table_00878_113_01&quot;;Extended Properties=&quot;&quot;" commandType="0"/>
  </connection>
  <connection id="1319" xr16:uid="{0F58348D-F12C-47F1-ADAA-73D34B9DE6FB}" keepAlive="1" name="連線2184" type="5" refreshedVersion="0" background="1">
    <dbPr connection="Provider=Microsoft.Mashup.OleDb.1;Data Source=$Workbook$;Location=&quot;Table_2912_113_03&quot;;Extended Properties=&quot;&quot;" commandType="0"/>
  </connection>
  <connection id="1320" xr16:uid="{42C1003C-35E8-4164-AB0D-14EB7DE7EED9}" keepAlive="1" name="連線2185" type="5" refreshedVersion="0" background="1">
    <dbPr connection="Provider=Microsoft.Mashup.OleDb.1;Data Source=$Workbook$;Location=&quot;Table_2912_113_02&quot;;Extended Properties=&quot;&quot;" commandType="0"/>
  </connection>
  <connection id="1321" xr16:uid="{E078FD9A-D11E-4FAE-9877-A914C4304DA1}" keepAlive="1" name="連線2186" type="5" refreshedVersion="0" background="1">
    <dbPr connection="Provider=Microsoft.Mashup.OleDb.1;Data Source=$Workbook$;Location=&quot;Table_2912_113_01&quot;;Extended Properties=&quot;&quot;" commandType="0"/>
  </connection>
  <connection id="1322" xr16:uid="{630A9B83-7D31-40A8-8D56-F8D1C017AADF}" keepAlive="1" name="連線2187" type="5" refreshedVersion="0" background="1">
    <dbPr connection="Provider=Microsoft.Mashup.OleDb.1;Data Source=$Workbook$;Location=&quot;Table_0056_113_03&quot;;Extended Properties=&quot;&quot;" commandType="0"/>
  </connection>
  <connection id="1323" xr16:uid="{72C1D90B-592D-4BED-A5FF-4A2C1DCDF394}" keepAlive="1" name="連線2188" type="5" refreshedVersion="0" background="1">
    <dbPr connection="Provider=Microsoft.Mashup.OleDb.1;Data Source=$Workbook$;Location=&quot;Table_0056_113_02&quot;;Extended Properties=&quot;&quot;" commandType="0"/>
  </connection>
  <connection id="1324" xr16:uid="{565D451E-003C-4E25-BB59-4152C3C51CC0}" keepAlive="1" name="連線2189" type="5" refreshedVersion="0" background="1">
    <dbPr connection="Provider=Microsoft.Mashup.OleDb.1;Data Source=$Workbook$;Location=&quot;Table_0056_113_01&quot;;Extended Properties=&quot;&quot;" commandType="0"/>
  </connection>
  <connection id="1325" xr16:uid="{26B15896-E3B4-4A12-BEDF-A9A9BBF4703E}" keepAlive="1" name="連線219" type="5" refreshedVersion="0" background="1">
    <dbPr connection="Provider=Microsoft.Mashup.OleDb.1;Data Source=$Workbook$;Location=&quot;Table_1101_113_03&quot;;Extended Properties=&quot;&quot;" commandType="0"/>
  </connection>
  <connection id="1326" xr16:uid="{D636DABB-D7D9-4F30-820E-174EAB6FB910}" keepAlive="1" name="連線2190" type="5" refreshedVersion="0" background="1">
    <dbPr connection="Provider=Microsoft.Mashup.OleDb.1;Data Source=$Workbook$;Location=&quot;Table_2882_113_03&quot;;Extended Properties=&quot;&quot;" commandType="0"/>
  </connection>
  <connection id="1327" xr16:uid="{A7B293E3-0796-4D45-9258-0595604FFABD}" keepAlive="1" name="連線2191" type="5" refreshedVersion="0" background="1">
    <dbPr connection="Provider=Microsoft.Mashup.OleDb.1;Data Source=$Workbook$;Location=&quot;Table_2882_113_02&quot;;Extended Properties=&quot;&quot;" commandType="0"/>
  </connection>
  <connection id="1328" xr16:uid="{81AA5558-00D0-49A5-848E-30828788DDC9}" keepAlive="1" name="連線2192" type="5" refreshedVersion="0" background="1">
    <dbPr connection="Provider=Microsoft.Mashup.OleDb.1;Data Source=$Workbook$;Location=&quot;Table_2882_113_01&quot;;Extended Properties=&quot;&quot;" commandType="0"/>
  </connection>
  <connection id="1329" xr16:uid="{75014D91-AD46-4BC2-8E48-777D54336E46}" keepAlive="1" name="連線2193" type="5" refreshedVersion="0" background="1">
    <dbPr connection="Provider=Microsoft.Mashup.OleDb.1;Data Source=$Workbook$;Location=&quot;Table_2330_113_06&quot;;Extended Properties=&quot;&quot;" commandType="0"/>
  </connection>
  <connection id="1330" xr16:uid="{9362D60D-87DC-48C3-8CCE-A4D1B1230961}" keepAlive="1" name="連線2194" type="5" refreshedVersion="0" background="1">
    <dbPr connection="Provider=Microsoft.Mashup.OleDb.1;Data Source=$Workbook$;Location=&quot;Table_2330_113_05&quot;;Extended Properties=&quot;&quot;" commandType="0"/>
  </connection>
  <connection id="1331" xr16:uid="{E3996C7E-B171-4A27-B4A2-DD59132F3CCA}" keepAlive="1" name="連線2195" type="5" refreshedVersion="0" background="1">
    <dbPr connection="Provider=Microsoft.Mashup.OleDb.1;Data Source=$Workbook$;Location=&quot;Table_2330_113_04&quot;;Extended Properties=&quot;&quot;" commandType="0"/>
  </connection>
  <connection id="1332" xr16:uid="{29F57CCA-6B09-4C39-91B4-238B7B2D0746}" keepAlive="1" name="連線2196" type="5" refreshedVersion="0" background="1">
    <dbPr connection="Provider=Microsoft.Mashup.OleDb.1;Data Source=$Workbook$;Location=&quot;Table_00878_113_06&quot;;Extended Properties=&quot;&quot;" commandType="0"/>
  </connection>
  <connection id="1333" xr16:uid="{34EC4BF4-86A5-416C-AC30-01D164019D47}" keepAlive="1" name="連線2197" type="5" refreshedVersion="0" background="1">
    <dbPr connection="Provider=Microsoft.Mashup.OleDb.1;Data Source=$Workbook$;Location=&quot;Table_00878_113_05&quot;;Extended Properties=&quot;&quot;" commandType="0"/>
  </connection>
  <connection id="1334" xr16:uid="{E7E52ECB-E3C4-4049-85D2-E3F92F015E5C}" keepAlive="1" name="連線2198" type="5" refreshedVersion="0" background="1">
    <dbPr connection="Provider=Microsoft.Mashup.OleDb.1;Data Source=$Workbook$;Location=&quot;Table_00878_113_04&quot;;Extended Properties=&quot;&quot;" commandType="0"/>
  </connection>
  <connection id="1335" xr16:uid="{2036C720-341F-4B83-BEF6-FF352417CB6C}" keepAlive="1" name="連線2199" type="5" refreshedVersion="0" background="1">
    <dbPr connection="Provider=Microsoft.Mashup.OleDb.1;Data Source=$Workbook$;Location=&quot;Table_2912_113_06&quot;;Extended Properties=&quot;&quot;" commandType="0"/>
  </connection>
  <connection id="1336" xr16:uid="{8117B727-15C3-40F9-A39A-61A369CC8DBA}" keepAlive="1" name="連線22" type="5" refreshedVersion="0" background="1">
    <dbPr connection="Provider=Microsoft.Mashup.OleDb.1;Data Source=$Workbook$;Location=&quot;Table 5&quot;;Extended Properties=&quot;&quot;" commandType="0"/>
  </connection>
  <connection id="1337" xr16:uid="{042D6F68-E204-4FF1-A2ED-64B12981A5F0}" keepAlive="1" name="連線220" type="5" refreshedVersion="0" background="1">
    <dbPr connection="Provider=Microsoft.Mashup.OleDb.1;Data Source=$Workbook$;Location=&quot;Table_2912_113_01&quot;;Extended Properties=&quot;&quot;" commandType="0"/>
  </connection>
  <connection id="1338" xr16:uid="{67CC6BF5-DF85-4035-B1F2-65020257E345}" keepAlive="1" name="連線2200" type="5" refreshedVersion="0" background="1">
    <dbPr connection="Provider=Microsoft.Mashup.OleDb.1;Data Source=$Workbook$;Location=&quot;Table_2912_113_05&quot;;Extended Properties=&quot;&quot;" commandType="0"/>
  </connection>
  <connection id="1339" xr16:uid="{E3845C03-A9DF-4E76-9661-8DF33F75ABC4}" keepAlive="1" name="連線2201" type="5" refreshedVersion="0" background="1">
    <dbPr connection="Provider=Microsoft.Mashup.OleDb.1;Data Source=$Workbook$;Location=&quot;Table_2912_113_04&quot;;Extended Properties=&quot;&quot;" commandType="0"/>
  </connection>
  <connection id="1340" xr16:uid="{9AD929C9-3B72-4BCE-9856-536A0F927FC4}" keepAlive="1" name="連線2202" type="5" refreshedVersion="0" background="1">
    <dbPr connection="Provider=Microsoft.Mashup.OleDb.1;Data Source=$Workbook$;Location=&quot;Table_0056_113_06&quot;;Extended Properties=&quot;&quot;" commandType="0"/>
  </connection>
  <connection id="1341" xr16:uid="{40A22CFA-2652-4AFE-BA07-6B781BDEBC0A}" keepAlive="1" name="連線2203" type="5" refreshedVersion="0" background="1">
    <dbPr connection="Provider=Microsoft.Mashup.OleDb.1;Data Source=$Workbook$;Location=&quot;Table_0056_113_05&quot;;Extended Properties=&quot;&quot;" commandType="0"/>
  </connection>
  <connection id="1342" xr16:uid="{7AF68A85-9A4E-4FF9-A6EF-3D846A88E0B3}" keepAlive="1" name="連線2204" type="5" refreshedVersion="0" background="1">
    <dbPr connection="Provider=Microsoft.Mashup.OleDb.1;Data Source=$Workbook$;Location=&quot;Table_0056_113_04&quot;;Extended Properties=&quot;&quot;" commandType="0"/>
  </connection>
  <connection id="1343" xr16:uid="{D895A5D6-0A85-4FC7-8AB9-83EFBD72CED8}" keepAlive="1" name="連線2205" type="5" refreshedVersion="0" background="1">
    <dbPr connection="Provider=Microsoft.Mashup.OleDb.1;Data Source=$Workbook$;Location=&quot;Table_2882_113_06&quot;;Extended Properties=&quot;&quot;" commandType="0"/>
  </connection>
  <connection id="1344" xr16:uid="{0821880E-297A-447B-8EF0-F6EB3188C342}" keepAlive="1" name="連線2206" type="5" refreshedVersion="0" background="1">
    <dbPr connection="Provider=Microsoft.Mashup.OleDb.1;Data Source=$Workbook$;Location=&quot;Table_2882_113_05&quot;;Extended Properties=&quot;&quot;" commandType="0"/>
  </connection>
  <connection id="1345" xr16:uid="{E2C4A169-3144-4B81-9B4F-F6E5AC151908}" keepAlive="1" name="連線2207" type="5" refreshedVersion="0" background="1">
    <dbPr connection="Provider=Microsoft.Mashup.OleDb.1;Data Source=$Workbook$;Location=&quot;Table_2882_113_04&quot;;Extended Properties=&quot;&quot;" commandType="0"/>
  </connection>
  <connection id="1346" xr16:uid="{60886B11-3E6E-4600-84DC-6C6AD88F5B4A}" keepAlive="1" name="連線2208" type="5" refreshedVersion="0" background="1">
    <dbPr connection="Provider=Microsoft.Mashup.OleDb.1;Data Source=$Workbook$;Location=&quot;Table_2330_112_03&quot;;Extended Properties=&quot;&quot;" commandType="0"/>
  </connection>
  <connection id="1347" xr16:uid="{7C6B2413-7FA8-40CC-A54F-E7776F2AF642}" keepAlive="1" name="連線2209" type="5" refreshedVersion="0" background="1">
    <dbPr connection="Provider=Microsoft.Mashup.OleDb.1;Data Source=$Workbook$;Location=&quot;Table_2330_112_02&quot;;Extended Properties=&quot;&quot;" commandType="0"/>
  </connection>
  <connection id="1348" xr16:uid="{D5D234D6-DA19-48F4-8317-ADCEA435E6FB}" keepAlive="1" name="連線221" type="5" refreshedVersion="0" background="1">
    <dbPr connection="Provider=Microsoft.Mashup.OleDb.1;Data Source=$Workbook$;Location=&quot;Table_2912_113_02&quot;;Extended Properties=&quot;&quot;" commandType="0"/>
  </connection>
  <connection id="1349" xr16:uid="{25CC074B-C84D-4168-B292-1FDF6C844FBD}" keepAlive="1" name="連線2210" type="5" refreshedVersion="0" background="1">
    <dbPr connection="Provider=Microsoft.Mashup.OleDb.1;Data Source=$Workbook$;Location=&quot;Table_2330_112_01&quot;;Extended Properties=&quot;&quot;" commandType="0"/>
  </connection>
  <connection id="1350" xr16:uid="{5DFFEBED-B6AD-4D29-98B5-1B0A12EEAB1C}" keepAlive="1" name="連線2211" type="5" refreshedVersion="0" background="1">
    <dbPr connection="Provider=Microsoft.Mashup.OleDb.1;Data Source=$Workbook$;Location=&quot;Table_00878_112_03&quot;;Extended Properties=&quot;&quot;" commandType="0"/>
  </connection>
  <connection id="1351" xr16:uid="{E4B5FDF1-5E07-486A-8352-62A1EDC0C907}" keepAlive="1" name="連線2212" type="5" refreshedVersion="0" background="1">
    <dbPr connection="Provider=Microsoft.Mashup.OleDb.1;Data Source=$Workbook$;Location=&quot;Table_00878_112_02&quot;;Extended Properties=&quot;&quot;" commandType="0"/>
  </connection>
  <connection id="1352" xr16:uid="{44F24B53-39CA-4DA2-85AF-670EAF35EBDB}" keepAlive="1" name="連線2213" type="5" refreshedVersion="0" background="1">
    <dbPr connection="Provider=Microsoft.Mashup.OleDb.1;Data Source=$Workbook$;Location=&quot;Table_00878_112_01&quot;;Extended Properties=&quot;&quot;" commandType="0"/>
  </connection>
  <connection id="1353" xr16:uid="{A5C4E7B8-CFA7-4F6E-BACF-769B516DEC85}" keepAlive="1" name="連線2214" type="5" refreshedVersion="0" background="1">
    <dbPr connection="Provider=Microsoft.Mashup.OleDb.1;Data Source=$Workbook$;Location=&quot;Table_2912_112_03&quot;;Extended Properties=&quot;&quot;" commandType="0"/>
  </connection>
  <connection id="1354" xr16:uid="{60AC8EA7-A0C6-499E-8577-C5F7255FC383}" keepAlive="1" name="連線2215" type="5" refreshedVersion="0" background="1">
    <dbPr connection="Provider=Microsoft.Mashup.OleDb.1;Data Source=$Workbook$;Location=&quot;Table_2912_112_02&quot;;Extended Properties=&quot;&quot;" commandType="0"/>
  </connection>
  <connection id="1355" xr16:uid="{2FCEC2EC-6852-4874-9038-2CE23C16A7FE}" keepAlive="1" name="連線2216" type="5" refreshedVersion="0" background="1">
    <dbPr connection="Provider=Microsoft.Mashup.OleDb.1;Data Source=$Workbook$;Location=&quot;Table_2912_112_01&quot;;Extended Properties=&quot;&quot;" commandType="0"/>
  </connection>
  <connection id="1356" xr16:uid="{267D9ECD-BB1F-4D0D-A2C5-87267C58C7CC}" keepAlive="1" name="連線2217" type="5" refreshedVersion="0" background="1">
    <dbPr connection="Provider=Microsoft.Mashup.OleDb.1;Data Source=$Workbook$;Location=&quot;Table_0056_112_03&quot;;Extended Properties=&quot;&quot;" commandType="0"/>
  </connection>
  <connection id="1357" xr16:uid="{3E694891-7CE3-4056-AE22-0045809B68C0}" keepAlive="1" name="連線2218" type="5" refreshedVersion="0" background="1">
    <dbPr connection="Provider=Microsoft.Mashup.OleDb.1;Data Source=$Workbook$;Location=&quot;Table_0056_112_02&quot;;Extended Properties=&quot;&quot;" commandType="0"/>
  </connection>
  <connection id="1358" xr16:uid="{C8A26B32-9DD1-4F83-A515-5A9AB65AEEB4}" keepAlive="1" name="連線2219" type="5" refreshedVersion="0" background="1">
    <dbPr connection="Provider=Microsoft.Mashup.OleDb.1;Data Source=$Workbook$;Location=&quot;Table_0056_112_01&quot;;Extended Properties=&quot;&quot;" commandType="0"/>
  </connection>
  <connection id="1359" xr16:uid="{3C3F9795-4692-43C9-BE27-81F768E5B028}" keepAlive="1" name="連線222" type="5" refreshedVersion="0" background="1">
    <dbPr connection="Provider=Microsoft.Mashup.OleDb.1;Data Source=$Workbook$;Location=&quot;Table_2912_113_03&quot;;Extended Properties=&quot;&quot;" commandType="0"/>
  </connection>
  <connection id="1360" xr16:uid="{E5142292-4D34-4F04-9C41-7ABA5CD66B1C}" keepAlive="1" name="連線2220" type="5" refreshedVersion="0" background="1">
    <dbPr connection="Provider=Microsoft.Mashup.OleDb.1;Data Source=$Workbook$;Location=&quot;Table_2882_112_03&quot;;Extended Properties=&quot;&quot;" commandType="0"/>
  </connection>
  <connection id="1361" xr16:uid="{478C320C-AE81-41CB-B478-5D71364F54C1}" keepAlive="1" name="連線2221" type="5" refreshedVersion="0" background="1">
    <dbPr connection="Provider=Microsoft.Mashup.OleDb.1;Data Source=$Workbook$;Location=&quot;Table_2882_112_02&quot;;Extended Properties=&quot;&quot;" commandType="0"/>
  </connection>
  <connection id="1362" xr16:uid="{9A06E518-BB12-4662-80E3-FD02F6A6C591}" keepAlive="1" name="連線2222" type="5" refreshedVersion="0" background="1">
    <dbPr connection="Provider=Microsoft.Mashup.OleDb.1;Data Source=$Workbook$;Location=&quot;Table_2882_112_01&quot;;Extended Properties=&quot;&quot;" commandType="0"/>
  </connection>
  <connection id="1363" xr16:uid="{349F6FFD-74F6-450F-87BC-94F154722AF1}" keepAlive="1" name="連線2223" type="5" refreshedVersion="0" background="1">
    <dbPr connection="Provider=Microsoft.Mashup.OleDb.1;Data Source=$Workbook$;Location=&quot;Table_2330_112_03&quot;;Extended Properties=&quot;&quot;" commandType="0"/>
  </connection>
  <connection id="1364" xr16:uid="{C5E4D63C-6FD8-4571-903A-2193F34E437E}" keepAlive="1" name="連線2224" type="5" refreshedVersion="0" background="1">
    <dbPr connection="Provider=Microsoft.Mashup.OleDb.1;Data Source=$Workbook$;Location=&quot;Table_2330_112_02&quot;;Extended Properties=&quot;&quot;" commandType="0"/>
  </connection>
  <connection id="1365" xr16:uid="{F1B47E9E-9627-417D-85E8-4A937A0775FD}" keepAlive="1" name="連線2225" type="5" refreshedVersion="0" background="1">
    <dbPr connection="Provider=Microsoft.Mashup.OleDb.1;Data Source=$Workbook$;Location=&quot;Table_2330_112_01&quot;;Extended Properties=&quot;&quot;" commandType="0"/>
  </connection>
  <connection id="1366" xr16:uid="{B2A65416-0994-4378-BD6E-4F7B3D0FFD23}" keepAlive="1" name="連線2226" type="5" refreshedVersion="0" background="1">
    <dbPr connection="Provider=Microsoft.Mashup.OleDb.1;Data Source=$Workbook$;Location=&quot;Table_00878_112_03&quot;;Extended Properties=&quot;&quot;" commandType="0"/>
  </connection>
  <connection id="1367" xr16:uid="{86CCF2C2-0563-455C-8CFA-45AA12779063}" keepAlive="1" name="連線2227" type="5" refreshedVersion="0" background="1">
    <dbPr connection="Provider=Microsoft.Mashup.OleDb.1;Data Source=$Workbook$;Location=&quot;Table_00878_112_02&quot;;Extended Properties=&quot;&quot;" commandType="0"/>
  </connection>
  <connection id="1368" xr16:uid="{DA28F5D3-F866-4241-91A6-053477D4CD08}" keepAlive="1" name="連線2228" type="5" refreshedVersion="0" background="1">
    <dbPr connection="Provider=Microsoft.Mashup.OleDb.1;Data Source=$Workbook$;Location=&quot;Table_00878_112_01&quot;;Extended Properties=&quot;&quot;" commandType="0"/>
  </connection>
  <connection id="1369" xr16:uid="{577663C9-CCA2-43F8-9E30-E0566C547DF6}" keepAlive="1" name="連線2229" type="5" refreshedVersion="0" background="1">
    <dbPr connection="Provider=Microsoft.Mashup.OleDb.1;Data Source=$Workbook$;Location=&quot;Table_2912_112_03&quot;;Extended Properties=&quot;&quot;" commandType="0"/>
  </connection>
  <connection id="1370" xr16:uid="{2F2B0775-1775-4CF8-AFEA-69B9CA1D6159}" keepAlive="1" name="連線223" type="5" refreshedVersion="0" background="1">
    <dbPr connection="Provider=Microsoft.Mashup.OleDb.1;Data Source=$Workbook$;Location=&quot;Table_2002_113_01&quot;;Extended Properties=&quot;&quot;" commandType="0"/>
  </connection>
  <connection id="1371" xr16:uid="{53C1FF35-F231-4BAF-ADD7-C0BCC4F4F902}" keepAlive="1" name="連線2230" type="5" refreshedVersion="0" background="1">
    <dbPr connection="Provider=Microsoft.Mashup.OleDb.1;Data Source=$Workbook$;Location=&quot;Table_2912_112_02&quot;;Extended Properties=&quot;&quot;" commandType="0"/>
  </connection>
  <connection id="1372" xr16:uid="{9377BCCC-9134-43D3-89BE-4D40A39C1B98}" keepAlive="1" name="連線2231" type="5" refreshedVersion="0" background="1">
    <dbPr connection="Provider=Microsoft.Mashup.OleDb.1;Data Source=$Workbook$;Location=&quot;Table_2912_112_01&quot;;Extended Properties=&quot;&quot;" commandType="0"/>
  </connection>
  <connection id="1373" xr16:uid="{6FFF839D-5BB0-4E6B-9108-5B55BB4B6BD8}" keepAlive="1" name="連線2232" type="5" refreshedVersion="0" background="1">
    <dbPr connection="Provider=Microsoft.Mashup.OleDb.1;Data Source=$Workbook$;Location=&quot;Table_0056_112_03&quot;;Extended Properties=&quot;&quot;" commandType="0"/>
  </connection>
  <connection id="1374" xr16:uid="{B1C2C1A8-83DB-4010-9CEC-E8B98D520895}" keepAlive="1" name="連線2233" type="5" refreshedVersion="0" background="1">
    <dbPr connection="Provider=Microsoft.Mashup.OleDb.1;Data Source=$Workbook$;Location=&quot;Table_0056_112_02&quot;;Extended Properties=&quot;&quot;" commandType="0"/>
  </connection>
  <connection id="1375" xr16:uid="{AB3895DE-E711-44AE-B881-42E0CC2FBADC}" keepAlive="1" name="連線2234" type="5" refreshedVersion="0" background="1">
    <dbPr connection="Provider=Microsoft.Mashup.OleDb.1;Data Source=$Workbook$;Location=&quot;Table_0056_112_01&quot;;Extended Properties=&quot;&quot;" commandType="0"/>
  </connection>
  <connection id="1376" xr16:uid="{6D12C824-96B6-47C4-B207-3344DA7B7FB4}" keepAlive="1" name="連線2235" type="5" refreshedVersion="0" background="1">
    <dbPr connection="Provider=Microsoft.Mashup.OleDb.1;Data Source=$Workbook$;Location=&quot;Table_2882_112_03&quot;;Extended Properties=&quot;&quot;" commandType="0"/>
  </connection>
  <connection id="1377" xr16:uid="{A42DE4E9-D7CE-431C-9703-CD557D8B0A3C}" keepAlive="1" name="連線2236" type="5" refreshedVersion="0" background="1">
    <dbPr connection="Provider=Microsoft.Mashup.OleDb.1;Data Source=$Workbook$;Location=&quot;Table_2882_112_02&quot;;Extended Properties=&quot;&quot;" commandType="0"/>
  </connection>
  <connection id="1378" xr16:uid="{9D521DAC-6CA1-43CE-98EB-544C3FE14703}" keepAlive="1" name="連線2237" type="5" refreshedVersion="0" background="1">
    <dbPr connection="Provider=Microsoft.Mashup.OleDb.1;Data Source=$Workbook$;Location=&quot;Table_2882_112_01&quot;;Extended Properties=&quot;&quot;" commandType="0"/>
  </connection>
  <connection id="1379" xr16:uid="{77A403A0-0A2C-4838-9669-3DA167013B78}" keepAlive="1" name="連線2238" type="5" refreshedVersion="0" background="1">
    <dbPr connection="Provider=Microsoft.Mashup.OleDb.1;Data Source=$Workbook$;Location=&quot;Table_2330_113_03&quot;;Extended Properties=&quot;&quot;" commandType="0"/>
  </connection>
  <connection id="1380" xr16:uid="{AD8695DA-3253-41A9-901A-1BBF9992F996}" keepAlive="1" name="連線2239" type="5" refreshedVersion="0" background="1">
    <dbPr connection="Provider=Microsoft.Mashup.OleDb.1;Data Source=$Workbook$;Location=&quot;Table_2330_113_02&quot;;Extended Properties=&quot;&quot;" commandType="0"/>
  </connection>
  <connection id="1381" xr16:uid="{004A2A2A-AA41-4C77-BF43-1ED38AA4D7DD}" keepAlive="1" name="連線224" type="5" refreshedVersion="0" background="1">
    <dbPr connection="Provider=Microsoft.Mashup.OleDb.1;Data Source=$Workbook$;Location=&quot;Table_2002_113_02&quot;;Extended Properties=&quot;&quot;" commandType="0"/>
  </connection>
  <connection id="1382" xr16:uid="{58AF91A2-A50F-4637-AF55-243027B73AFF}" keepAlive="1" name="連線2240" type="5" refreshedVersion="0" background="1">
    <dbPr connection="Provider=Microsoft.Mashup.OleDb.1;Data Source=$Workbook$;Location=&quot;Table_2330_113_01&quot;;Extended Properties=&quot;&quot;" commandType="0"/>
  </connection>
  <connection id="1383" xr16:uid="{8AA7337A-D751-49EB-A1EA-E699B4A1E05B}" keepAlive="1" name="連線2241" type="5" refreshedVersion="0" background="1">
    <dbPr connection="Provider=Microsoft.Mashup.OleDb.1;Data Source=$Workbook$;Location=&quot;Table_00878_113_03&quot;;Extended Properties=&quot;&quot;" commandType="0"/>
  </connection>
  <connection id="1384" xr16:uid="{45B6C651-4C01-47F1-899E-9B6F92FCE52C}" keepAlive="1" name="連線2242" type="5" refreshedVersion="0" background="1">
    <dbPr connection="Provider=Microsoft.Mashup.OleDb.1;Data Source=$Workbook$;Location=&quot;Table_00878_113_02&quot;;Extended Properties=&quot;&quot;" commandType="0"/>
  </connection>
  <connection id="1385" xr16:uid="{12618B96-792D-42E1-A761-33A86C715542}" keepAlive="1" name="連線2243" type="5" refreshedVersion="0" background="1">
    <dbPr connection="Provider=Microsoft.Mashup.OleDb.1;Data Source=$Workbook$;Location=&quot;Table_00878_113_01&quot;;Extended Properties=&quot;&quot;" commandType="0"/>
  </connection>
  <connection id="1386" xr16:uid="{1E7E0745-FFCA-4AD0-A9BF-AC1D94F3464B}" keepAlive="1" name="連線2244" type="5" refreshedVersion="0" background="1">
    <dbPr connection="Provider=Microsoft.Mashup.OleDb.1;Data Source=$Workbook$;Location=&quot;Table_2912_113_03&quot;;Extended Properties=&quot;&quot;" commandType="0"/>
  </connection>
  <connection id="1387" xr16:uid="{FA1960F3-4E3E-49F1-A0A2-809439965327}" keepAlive="1" name="連線2245" type="5" refreshedVersion="0" background="1">
    <dbPr connection="Provider=Microsoft.Mashup.OleDb.1;Data Source=$Workbook$;Location=&quot;Table_2912_113_02&quot;;Extended Properties=&quot;&quot;" commandType="0"/>
  </connection>
  <connection id="1388" xr16:uid="{136D84AC-3CA8-48EE-AA9F-567D81F43A9A}" keepAlive="1" name="連線2246" type="5" refreshedVersion="0" background="1">
    <dbPr connection="Provider=Microsoft.Mashup.OleDb.1;Data Source=$Workbook$;Location=&quot;Table_2912_113_01&quot;;Extended Properties=&quot;&quot;" commandType="0"/>
  </connection>
  <connection id="1389" xr16:uid="{B535EF5E-687F-4BCB-A0F7-5A4EE578150A}" keepAlive="1" name="連線2247" type="5" refreshedVersion="0" background="1">
    <dbPr connection="Provider=Microsoft.Mashup.OleDb.1;Data Source=$Workbook$;Location=&quot;Table_0056_113_03&quot;;Extended Properties=&quot;&quot;" commandType="0"/>
  </connection>
  <connection id="1390" xr16:uid="{B1A9B543-13D5-4117-94A2-84015B8976C6}" keepAlive="1" name="連線2248" type="5" refreshedVersion="0" background="1">
    <dbPr connection="Provider=Microsoft.Mashup.OleDb.1;Data Source=$Workbook$;Location=&quot;Table_0056_113_02&quot;;Extended Properties=&quot;&quot;" commandType="0"/>
  </connection>
  <connection id="1391" xr16:uid="{70062B4D-0434-4318-B9A8-06344C5374CD}" keepAlive="1" name="連線2249" type="5" refreshedVersion="0" background="1">
    <dbPr connection="Provider=Microsoft.Mashup.OleDb.1;Data Source=$Workbook$;Location=&quot;Table_0056_113_01&quot;;Extended Properties=&quot;&quot;" commandType="0"/>
  </connection>
  <connection id="1392" xr16:uid="{A213A07A-C44F-4A1C-99F2-FFCF57BB223A}" keepAlive="1" name="連線225" type="5" refreshedVersion="0" background="1">
    <dbPr connection="Provider=Microsoft.Mashup.OleDb.1;Data Source=$Workbook$;Location=&quot;Table_2002_113_03&quot;;Extended Properties=&quot;&quot;" commandType="0"/>
  </connection>
  <connection id="1393" xr16:uid="{8FC3F362-0DF7-43D2-AE2A-08E2B173E959}" keepAlive="1" name="連線2250" type="5" refreshedVersion="0" background="1">
    <dbPr connection="Provider=Microsoft.Mashup.OleDb.1;Data Source=$Workbook$;Location=&quot;Table_2882_113_03&quot;;Extended Properties=&quot;&quot;" commandType="0"/>
  </connection>
  <connection id="1394" xr16:uid="{2A618A63-EE4D-417E-BEB7-5C901022583C}" keepAlive="1" name="連線2251" type="5" refreshedVersion="0" background="1">
    <dbPr connection="Provider=Microsoft.Mashup.OleDb.1;Data Source=$Workbook$;Location=&quot;Table_2882_113_02&quot;;Extended Properties=&quot;&quot;" commandType="0"/>
  </connection>
  <connection id="1395" xr16:uid="{8C8C7C77-42DF-44C9-8B13-678907EB939A}" keepAlive="1" name="連線2252" type="5" refreshedVersion="0" background="1">
    <dbPr connection="Provider=Microsoft.Mashup.OleDb.1;Data Source=$Workbook$;Location=&quot;Table_2882_113_01&quot;;Extended Properties=&quot;&quot;" commandType="0"/>
  </connection>
  <connection id="1396" xr16:uid="{5013E5BA-6D30-4388-855D-478C479AB49B}" keepAlive="1" name="連線2253" type="5" refreshedVersion="0" background="1">
    <dbPr connection="Provider=Microsoft.Mashup.OleDb.1;Data Source=$Workbook$;Location=&quot;Table_2330_113_03&quot;;Extended Properties=&quot;&quot;" commandType="0"/>
  </connection>
  <connection id="1397" xr16:uid="{07DD472A-15A8-452B-A736-33CF4E8504FD}" keepAlive="1" name="連線2254" type="5" refreshedVersion="0" background="1">
    <dbPr connection="Provider=Microsoft.Mashup.OleDb.1;Data Source=$Workbook$;Location=&quot;Table_2330_113_02&quot;;Extended Properties=&quot;&quot;" commandType="0"/>
  </connection>
  <connection id="1398" xr16:uid="{286C4C35-CD7E-4896-9028-8CB29EE5CBC7}" keepAlive="1" name="連線2255" type="5" refreshedVersion="0" background="1">
    <dbPr connection="Provider=Microsoft.Mashup.OleDb.1;Data Source=$Workbook$;Location=&quot;Table_2330_113_01&quot;;Extended Properties=&quot;&quot;" commandType="0"/>
  </connection>
  <connection id="1399" xr16:uid="{BD2D48C0-BE12-4F96-8DCE-6D6A12E6C143}" keepAlive="1" name="連線2256" type="5" refreshedVersion="0" background="1">
    <dbPr connection="Provider=Microsoft.Mashup.OleDb.1;Data Source=$Workbook$;Location=&quot;Table_2882_113_03&quot;;Extended Properties=&quot;&quot;" commandType="0"/>
  </connection>
  <connection id="1400" xr16:uid="{B23DF35A-4275-4B18-823F-EF7C2C1E931E}" keepAlive="1" name="連線2257" type="5" refreshedVersion="0" background="1">
    <dbPr connection="Provider=Microsoft.Mashup.OleDb.1;Data Source=$Workbook$;Location=&quot;Table_2882_113_02&quot;;Extended Properties=&quot;&quot;" commandType="0"/>
  </connection>
  <connection id="1401" xr16:uid="{2FD716BB-0EA5-428D-B61B-C213AABD7E5D}" keepAlive="1" name="連線2258" type="5" refreshedVersion="0" background="1">
    <dbPr connection="Provider=Microsoft.Mashup.OleDb.1;Data Source=$Workbook$;Location=&quot;Table_2882_113_01&quot;;Extended Properties=&quot;&quot;" commandType="0"/>
  </connection>
  <connection id="1402" xr16:uid="{956399AC-9573-40FF-A509-ABBDE3A09E88}" keepAlive="1" name="連線2259" type="5" refreshedVersion="0" background="1">
    <dbPr connection="Provider=Microsoft.Mashup.OleDb.1;Data Source=$Workbook$;Location=&quot;Table_0056_113_03&quot;;Extended Properties=&quot;&quot;" commandType="0"/>
  </connection>
  <connection id="1403" xr16:uid="{9AB6F820-F31B-44B1-BCAD-A441FAAFCC5A}" keepAlive="1" name="連線226" type="5" refreshedVersion="0" background="1">
    <dbPr connection="Provider=Microsoft.Mashup.OleDb.1;Data Source=$Workbook$;Location=&quot;Table_2882_113_01&quot;;Extended Properties=&quot;&quot;" commandType="0"/>
  </connection>
  <connection id="1404" xr16:uid="{0456835A-79FD-4A5A-8259-6F8D4D894980}" keepAlive="1" name="連線2260" type="5" refreshedVersion="0" background="1">
    <dbPr connection="Provider=Microsoft.Mashup.OleDb.1;Data Source=$Workbook$;Location=&quot;Table_0056_113_02&quot;;Extended Properties=&quot;&quot;" commandType="0"/>
  </connection>
  <connection id="1405" xr16:uid="{D3BE179F-E3CD-4076-BEB2-6583092257D3}" keepAlive="1" name="連線2261" type="5" refreshedVersion="0" background="1">
    <dbPr connection="Provider=Microsoft.Mashup.OleDb.1;Data Source=$Workbook$;Location=&quot;Table_0056_113_01&quot;;Extended Properties=&quot;&quot;" commandType="0"/>
  </connection>
  <connection id="1406" xr16:uid="{6DC51AEC-663E-4B17-A9E7-48266C6863DB}" keepAlive="1" name="連線2262" type="5" refreshedVersion="0" background="1">
    <dbPr connection="Provider=Microsoft.Mashup.OleDb.1;Data Source=$Workbook$;Location=&quot;Table_2912_113_03&quot;;Extended Properties=&quot;&quot;" commandType="0"/>
  </connection>
  <connection id="1407" xr16:uid="{693CE810-FF4C-47F1-8860-A79ADDE093FD}" keepAlive="1" name="連線2263" type="5" refreshedVersion="0" background="1">
    <dbPr connection="Provider=Microsoft.Mashup.OleDb.1;Data Source=$Workbook$;Location=&quot;Table_2912_113_02&quot;;Extended Properties=&quot;&quot;" commandType="0"/>
  </connection>
  <connection id="1408" xr16:uid="{E82EDD66-7922-47C7-9FDD-9F7C38F0E1DB}" keepAlive="1" name="連線2264" type="5" refreshedVersion="0" background="1">
    <dbPr connection="Provider=Microsoft.Mashup.OleDb.1;Data Source=$Workbook$;Location=&quot;Table_2912_113_01&quot;;Extended Properties=&quot;&quot;" commandType="0"/>
  </connection>
  <connection id="1409" xr16:uid="{F53075CB-FAC9-493E-9771-F3D6256E7C0F}" keepAlive="1" name="連線2265" type="5" refreshedVersion="0" background="1">
    <dbPr connection="Provider=Microsoft.Mashup.OleDb.1;Data Source=$Workbook$;Location=&quot;Table_00878_113_03&quot;;Extended Properties=&quot;&quot;" commandType="0"/>
  </connection>
  <connection id="1410" xr16:uid="{913E3CCD-F989-4C52-8D4D-129BFBEC0511}" keepAlive="1" name="連線2266" type="5" refreshedVersion="0" background="1">
    <dbPr connection="Provider=Microsoft.Mashup.OleDb.1;Data Source=$Workbook$;Location=&quot;Table_00878_113_02&quot;;Extended Properties=&quot;&quot;" commandType="0"/>
  </connection>
  <connection id="1411" xr16:uid="{77F8907B-5290-43C0-B428-D8A98F406392}" keepAlive="1" name="連線2267" type="5" refreshedVersion="0" background="1">
    <dbPr connection="Provider=Microsoft.Mashup.OleDb.1;Data Source=$Workbook$;Location=&quot;Table_00878_113_01&quot;;Extended Properties=&quot;&quot;" commandType="0"/>
  </connection>
  <connection id="1412" xr16:uid="{3F6585C1-AF6E-4C14-BF34-F8D56FF159D7}" keepAlive="1" name="連線2268" type="5" refreshedVersion="0" background="1">
    <dbPr connection="Provider=Microsoft.Mashup.OleDb.1;Data Source=$Workbook$;Location=&quot;Table_2330_113_03&quot;;Extended Properties=&quot;&quot;" commandType="0"/>
  </connection>
  <connection id="1413" xr16:uid="{09A73B72-A73B-48BB-A605-13E8DC73B6D4}" keepAlive="1" name="連線2269" type="5" refreshedVersion="0" background="1">
    <dbPr connection="Provider=Microsoft.Mashup.OleDb.1;Data Source=$Workbook$;Location=&quot;Table_2330_113_02&quot;;Extended Properties=&quot;&quot;" commandType="0"/>
  </connection>
  <connection id="1414" xr16:uid="{6D6ECB07-A0DF-49DD-A176-4D39E80D64D7}" keepAlive="1" name="連線227" type="5" refreshedVersion="0" background="1">
    <dbPr connection="Provider=Microsoft.Mashup.OleDb.1;Data Source=$Workbook$;Location=&quot;Table_2882_113_02&quot;;Extended Properties=&quot;&quot;" commandType="0"/>
  </connection>
  <connection id="1415" xr16:uid="{86CC0F3B-75AC-4632-90A5-7D92B03F8D27}" keepAlive="1" name="連線2270" type="5" refreshedVersion="0" background="1">
    <dbPr connection="Provider=Microsoft.Mashup.OleDb.1;Data Source=$Workbook$;Location=&quot;Table_2330_113_01&quot;;Extended Properties=&quot;&quot;" commandType="0"/>
  </connection>
  <connection id="1416" xr16:uid="{9B49EC31-D966-4F62-BDC4-50B7B889FE77}" keepAlive="1" name="連線2271" type="5" refreshedVersion="0" background="1">
    <dbPr connection="Provider=Microsoft.Mashup.OleDb.1;Data Source=$Workbook$;Location=&quot;Table_00878_113_03&quot;;Extended Properties=&quot;&quot;" commandType="0"/>
  </connection>
  <connection id="1417" xr16:uid="{B0AF52A8-98A0-460E-B226-EBDABD349239}" keepAlive="1" name="連線2272" type="5" refreshedVersion="0" background="1">
    <dbPr connection="Provider=Microsoft.Mashup.OleDb.1;Data Source=$Workbook$;Location=&quot;Table_00878_113_02&quot;;Extended Properties=&quot;&quot;" commandType="0"/>
  </connection>
  <connection id="1418" xr16:uid="{79C4AB64-D289-4945-A50F-8CD10ED19C76}" keepAlive="1" name="連線2273" type="5" refreshedVersion="0" background="1">
    <dbPr connection="Provider=Microsoft.Mashup.OleDb.1;Data Source=$Workbook$;Location=&quot;Table_00878_113_01&quot;;Extended Properties=&quot;&quot;" commandType="0"/>
  </connection>
  <connection id="1419" xr16:uid="{44DF7DFE-F342-49B1-AA49-6CD99055C978}" keepAlive="1" name="連線2274" type="5" refreshedVersion="0" background="1">
    <dbPr connection="Provider=Microsoft.Mashup.OleDb.1;Data Source=$Workbook$;Location=&quot;Table_0056_113_03&quot;;Extended Properties=&quot;&quot;" commandType="0"/>
  </connection>
  <connection id="1420" xr16:uid="{CCC1A5B3-957F-4AEC-AF9B-DF9AA62EEDCF}" keepAlive="1" name="連線2275" type="5" refreshedVersion="0" background="1">
    <dbPr connection="Provider=Microsoft.Mashup.OleDb.1;Data Source=$Workbook$;Location=&quot;Table_0056_113_02&quot;;Extended Properties=&quot;&quot;" commandType="0"/>
  </connection>
  <connection id="1421" xr16:uid="{6A4415CB-CD61-49A7-9CAC-EF0C7BEACEE2}" keepAlive="1" name="連線2276" type="5" refreshedVersion="0" background="1">
    <dbPr connection="Provider=Microsoft.Mashup.OleDb.1;Data Source=$Workbook$;Location=&quot;Table_0056_113_01&quot;;Extended Properties=&quot;&quot;" commandType="0"/>
  </connection>
  <connection id="1422" xr16:uid="{D27B48C9-3756-44D7-9B5F-18FAFA1B7D16}" keepAlive="1" name="連線2277" type="5" refreshedVersion="0" background="1">
    <dbPr connection="Provider=Microsoft.Mashup.OleDb.1;Data Source=$Workbook$;Location=&quot;Table_2912_113_03&quot;;Extended Properties=&quot;&quot;" commandType="0"/>
  </connection>
  <connection id="1423" xr16:uid="{67D09D9F-CF53-4259-AACE-E57E90D735E3}" keepAlive="1" name="連線2278" type="5" refreshedVersion="0" background="1">
    <dbPr connection="Provider=Microsoft.Mashup.OleDb.1;Data Source=$Workbook$;Location=&quot;Table_2912_113_02&quot;;Extended Properties=&quot;&quot;" commandType="0"/>
  </connection>
  <connection id="1424" xr16:uid="{C61FCBF9-609A-4D76-A250-3F2002D59B90}" keepAlive="1" name="連線2279" type="5" refreshedVersion="0" background="1">
    <dbPr connection="Provider=Microsoft.Mashup.OleDb.1;Data Source=$Workbook$;Location=&quot;Table_2912_113_01&quot;;Extended Properties=&quot;&quot;" commandType="0"/>
  </connection>
  <connection id="1425" xr16:uid="{755B4A67-1E1E-4FB3-85AD-9406E2FE1092}" keepAlive="1" name="連線228" type="5" refreshedVersion="0" background="1">
    <dbPr connection="Provider=Microsoft.Mashup.OleDb.1;Data Source=$Workbook$;Location=&quot;Table_2882_113_03&quot;;Extended Properties=&quot;&quot;" commandType="0"/>
  </connection>
  <connection id="1426" xr16:uid="{EE0F30F9-729F-4787-8EB1-8951C88B137E}" keepAlive="1" name="連線2280" type="5" refreshedVersion="0" background="1">
    <dbPr connection="Provider=Microsoft.Mashup.OleDb.1;Data Source=$Workbook$;Location=&quot;Table_2882_113_03&quot;;Extended Properties=&quot;&quot;" commandType="0"/>
  </connection>
  <connection id="1427" xr16:uid="{7C1E30FE-2134-49D9-A2A7-EFA506FB67E9}" keepAlive="1" name="連線2281" type="5" refreshedVersion="0" background="1">
    <dbPr connection="Provider=Microsoft.Mashup.OleDb.1;Data Source=$Workbook$;Location=&quot;Table_2882_113_02&quot;;Extended Properties=&quot;&quot;" commandType="0"/>
  </connection>
  <connection id="1428" xr16:uid="{04290A64-B580-4AE6-A411-BD433AFDACBA}" keepAlive="1" name="連線2282" type="5" refreshedVersion="0" background="1">
    <dbPr connection="Provider=Microsoft.Mashup.OleDb.1;Data Source=$Workbook$;Location=&quot;Table_2882_113_01&quot;;Extended Properties=&quot;&quot;" commandType="0"/>
  </connection>
  <connection id="1429" xr16:uid="{113968BA-20C8-4FEC-A18A-18AED4ECB104}" keepAlive="1" name="連線2283" type="5" refreshedVersion="0" background="1">
    <dbPr connection="Provider=Microsoft.Mashup.OleDb.1;Data Source=$Workbook$;Location=&quot;Table_2330_113_03&quot;;Extended Properties=&quot;&quot;" commandType="0"/>
  </connection>
  <connection id="1430" xr16:uid="{5CD08B54-415A-484C-A131-1B8184F20254}" keepAlive="1" name="連線2284" type="5" refreshedVersion="0" background="1">
    <dbPr connection="Provider=Microsoft.Mashup.OleDb.1;Data Source=$Workbook$;Location=&quot;Table_2330_113_02&quot;;Extended Properties=&quot;&quot;" commandType="0"/>
  </connection>
  <connection id="1431" xr16:uid="{BF6AAAD0-1728-44C0-8014-FFA58C582648}" keepAlive="1" name="連線2285" type="5" refreshedVersion="0" background="1">
    <dbPr connection="Provider=Microsoft.Mashup.OleDb.1;Data Source=$Workbook$;Location=&quot;Table_2330_113_01&quot;;Extended Properties=&quot;&quot;" commandType="0"/>
  </connection>
  <connection id="1432" xr16:uid="{7B8BC18D-92E7-4D47-831E-EB354396347B}" keepAlive="1" name="連線2286" type="5" refreshedVersion="0" background="1">
    <dbPr connection="Provider=Microsoft.Mashup.OleDb.1;Data Source=$Workbook$;Location=&quot;Table_2882_113_03&quot;;Extended Properties=&quot;&quot;" commandType="0"/>
  </connection>
  <connection id="1433" xr16:uid="{5E2BC74A-2764-4393-898D-3D7934D3696E}" keepAlive="1" name="連線2287" type="5" refreshedVersion="0" background="1">
    <dbPr connection="Provider=Microsoft.Mashup.OleDb.1;Data Source=$Workbook$;Location=&quot;Table_2882_113_02&quot;;Extended Properties=&quot;&quot;" commandType="0"/>
  </connection>
  <connection id="1434" xr16:uid="{79FCB0C7-3558-4983-A2CA-AB9B055EA17B}" keepAlive="1" name="連線2288" type="5" refreshedVersion="0" background="1">
    <dbPr connection="Provider=Microsoft.Mashup.OleDb.1;Data Source=$Workbook$;Location=&quot;Table_2882_113_01&quot;;Extended Properties=&quot;&quot;" commandType="0"/>
  </connection>
  <connection id="1435" xr16:uid="{14C67B49-F623-434B-A05B-A7231C0F56FA}" keepAlive="1" name="連線2289" type="5" refreshedVersion="0" background="1">
    <dbPr connection="Provider=Microsoft.Mashup.OleDb.1;Data Source=$Workbook$;Location=&quot;Table_0056_113_03&quot;;Extended Properties=&quot;&quot;" commandType="0"/>
  </connection>
  <connection id="1436" xr16:uid="{5D792D8C-28C0-4A77-80AB-575BBFA8E44A}" keepAlive="1" name="連線229" type="5" refreshedVersion="0" background="1">
    <dbPr connection="Provider=Microsoft.Mashup.OleDb.1;Data Source=$Workbook$;Location=&quot;Table_2330_113_01&quot;;Extended Properties=&quot;&quot;" commandType="0"/>
  </connection>
  <connection id="1437" xr16:uid="{4D26A316-022C-4D69-901B-3F6C9B34DE7C}" keepAlive="1" name="連線2290" type="5" refreshedVersion="0" background="1">
    <dbPr connection="Provider=Microsoft.Mashup.OleDb.1;Data Source=$Workbook$;Location=&quot;Table_0056_113_02&quot;;Extended Properties=&quot;&quot;" commandType="0"/>
  </connection>
  <connection id="1438" xr16:uid="{038A0E55-BE01-468C-BCDF-2352A7801749}" keepAlive="1" name="連線2291" type="5" refreshedVersion="0" background="1">
    <dbPr connection="Provider=Microsoft.Mashup.OleDb.1;Data Source=$Workbook$;Location=&quot;Table_0056_113_01&quot;;Extended Properties=&quot;&quot;" commandType="0"/>
  </connection>
  <connection id="1439" xr16:uid="{22A1EBE7-4E51-4122-A38A-3686727083E3}" keepAlive="1" name="連線2292" type="5" refreshedVersion="0" background="1">
    <dbPr connection="Provider=Microsoft.Mashup.OleDb.1;Data Source=$Workbook$;Location=&quot;Table_2912_113_03&quot;;Extended Properties=&quot;&quot;" commandType="0"/>
  </connection>
  <connection id="1440" xr16:uid="{193590DA-84EA-4838-BC9E-D71DE7B42B7B}" keepAlive="1" name="連線2293" type="5" refreshedVersion="0" background="1">
    <dbPr connection="Provider=Microsoft.Mashup.OleDb.1;Data Source=$Workbook$;Location=&quot;Table_2912_113_02&quot;;Extended Properties=&quot;&quot;" commandType="0"/>
  </connection>
  <connection id="1441" xr16:uid="{4683C7CC-19DB-4DFF-A605-8B9B1C411FEA}" keepAlive="1" name="連線2294" type="5" refreshedVersion="0" background="1">
    <dbPr connection="Provider=Microsoft.Mashup.OleDb.1;Data Source=$Workbook$;Location=&quot;Table_2912_113_01&quot;;Extended Properties=&quot;&quot;" commandType="0"/>
  </connection>
  <connection id="1442" xr16:uid="{DB502E7D-A39F-4E87-95AC-3937A5018FC0}" keepAlive="1" name="連線2295" type="5" refreshedVersion="0" background="1">
    <dbPr connection="Provider=Microsoft.Mashup.OleDb.1;Data Source=$Workbook$;Location=&quot;Table_00878_113_03&quot;;Extended Properties=&quot;&quot;" commandType="0"/>
  </connection>
  <connection id="1443" xr16:uid="{644D58FE-696A-4DA0-A1AD-32164E70196E}" keepAlive="1" name="連線2296" type="5" refreshedVersion="0" background="1">
    <dbPr connection="Provider=Microsoft.Mashup.OleDb.1;Data Source=$Workbook$;Location=&quot;Table_00878_113_02&quot;;Extended Properties=&quot;&quot;" commandType="0"/>
  </connection>
  <connection id="1444" xr16:uid="{629F9982-6DD4-49BD-BB86-1E1E8EB6D625}" keepAlive="1" name="連線2297" type="5" refreshedVersion="0" background="1">
    <dbPr connection="Provider=Microsoft.Mashup.OleDb.1;Data Source=$Workbook$;Location=&quot;Table_00878_113_01&quot;;Extended Properties=&quot;&quot;" commandType="0"/>
  </connection>
  <connection id="1445" xr16:uid="{6148BE78-00B8-46EF-BF91-442DC6E012C1}" keepAlive="1" name="連線2298" type="5" refreshedVersion="0" background="1">
    <dbPr connection="Provider=Microsoft.Mashup.OleDb.1;Data Source=$Workbook$;Location=&quot;Table_2330_113_03&quot;;Extended Properties=&quot;&quot;" commandType="0"/>
  </connection>
  <connection id="1446" xr16:uid="{3E136F0B-76EA-48A3-9FCD-99DA33B4998E}" keepAlive="1" name="連線2299" type="5" refreshedVersion="0" background="1">
    <dbPr connection="Provider=Microsoft.Mashup.OleDb.1;Data Source=$Workbook$;Location=&quot;Table_2330_113_02&quot;;Extended Properties=&quot;&quot;" commandType="0"/>
  </connection>
  <connection id="1447" xr16:uid="{579A83FB-7265-45E4-A0AA-80C283F3B2D7}" keepAlive="1" name="連線23" type="5" refreshedVersion="0" background="1">
    <dbPr connection="Provider=Microsoft.Mashup.OleDb.1;Data Source=$Workbook$;Location=&quot;Table 6&quot;;Extended Properties=&quot;&quot;" commandType="0"/>
  </connection>
  <connection id="1448" xr16:uid="{0D89134C-0581-4A88-B1E9-137D7F83ADC5}" keepAlive="1" name="連線230" type="5" refreshedVersion="0" background="1">
    <dbPr connection="Provider=Microsoft.Mashup.OleDb.1;Data Source=$Workbook$;Location=&quot;Table_2330_113_02&quot;;Extended Properties=&quot;&quot;" commandType="0"/>
  </connection>
  <connection id="1449" xr16:uid="{463DA9BB-A1A0-4BFF-94B1-8E26C4F93125}" keepAlive="1" name="連線2300" type="5" refreshedVersion="0" background="1">
    <dbPr connection="Provider=Microsoft.Mashup.OleDb.1;Data Source=$Workbook$;Location=&quot;Table_2330_113_01&quot;;Extended Properties=&quot;&quot;" commandType="0"/>
  </connection>
  <connection id="1450" xr16:uid="{F54AADF5-25BF-4A83-A19F-598D974B29C3}" keepAlive="1" name="連線2301" type="5" refreshedVersion="0" background="1">
    <dbPr connection="Provider=Microsoft.Mashup.OleDb.1;Data Source=$Workbook$;Location=&quot;Table_2882_113_03&quot;;Extended Properties=&quot;&quot;" commandType="0"/>
  </connection>
  <connection id="1451" xr16:uid="{0D39F174-6495-4BBB-8DDD-9C71A4B9AE90}" keepAlive="1" name="連線2302" type="5" refreshedVersion="0" background="1">
    <dbPr connection="Provider=Microsoft.Mashup.OleDb.1;Data Source=$Workbook$;Location=&quot;Table_2882_113_02&quot;;Extended Properties=&quot;&quot;" commandType="0"/>
  </connection>
  <connection id="1452" xr16:uid="{E44736FF-FD88-46A6-A369-344C9A51B11C}" keepAlive="1" name="連線2303" type="5" refreshedVersion="0" background="1">
    <dbPr connection="Provider=Microsoft.Mashup.OleDb.1;Data Source=$Workbook$;Location=&quot;Table_2882_113_01&quot;;Extended Properties=&quot;&quot;" commandType="0"/>
  </connection>
  <connection id="1453" xr16:uid="{EFB2FCFA-F3E3-4EB2-8430-A16A245FF986}" keepAlive="1" name="連線2304" type="5" refreshedVersion="0" background="1">
    <dbPr connection="Provider=Microsoft.Mashup.OleDb.1;Data Source=$Workbook$;Location=&quot;Table_0056_113_03&quot;;Extended Properties=&quot;&quot;" commandType="0"/>
  </connection>
  <connection id="1454" xr16:uid="{43021C3F-CF60-46D1-8A01-8E184E772B0D}" keepAlive="1" name="連線2305" type="5" refreshedVersion="0" background="1">
    <dbPr connection="Provider=Microsoft.Mashup.OleDb.1;Data Source=$Workbook$;Location=&quot;Table_0056_113_02&quot;;Extended Properties=&quot;&quot;" commandType="0"/>
  </connection>
  <connection id="1455" xr16:uid="{3F42AC2E-E59D-47EC-96B5-16ABBC66B5D4}" keepAlive="1" name="連線2306" type="5" refreshedVersion="0" background="1">
    <dbPr connection="Provider=Microsoft.Mashup.OleDb.1;Data Source=$Workbook$;Location=&quot;Table_0056_113_01&quot;;Extended Properties=&quot;&quot;" commandType="0"/>
  </connection>
  <connection id="1456" xr16:uid="{38612117-6C8F-4AA9-BD03-07D8BB3C95B2}" keepAlive="1" name="連線2307" type="5" refreshedVersion="0" background="1">
    <dbPr connection="Provider=Microsoft.Mashup.OleDb.1;Data Source=$Workbook$;Location=&quot;Table_2912_113_03&quot;;Extended Properties=&quot;&quot;" commandType="0"/>
  </connection>
  <connection id="1457" xr16:uid="{80ED47A8-B25A-44E2-A26C-F80B743196FA}" keepAlive="1" name="連線2308" type="5" refreshedVersion="0" background="1">
    <dbPr connection="Provider=Microsoft.Mashup.OleDb.1;Data Source=$Workbook$;Location=&quot;Table_2912_113_02&quot;;Extended Properties=&quot;&quot;" commandType="0"/>
  </connection>
  <connection id="1458" xr16:uid="{04835AC5-4276-45DB-A537-16C08F5D6DB7}" keepAlive="1" name="連線2309" type="5" refreshedVersion="0" background="1">
    <dbPr connection="Provider=Microsoft.Mashup.OleDb.1;Data Source=$Workbook$;Location=&quot;Table_2912_113_01&quot;;Extended Properties=&quot;&quot;" commandType="0"/>
  </connection>
  <connection id="1459" xr16:uid="{48763A45-5F14-414B-9CBF-CB36AFFB60AA}" keepAlive="1" name="連線231" type="5" refreshedVersion="0" background="1">
    <dbPr connection="Provider=Microsoft.Mashup.OleDb.1;Data Source=$Workbook$;Location=&quot;Table_2330_113_03&quot;;Extended Properties=&quot;&quot;" commandType="0"/>
  </connection>
  <connection id="1460" xr16:uid="{2738C299-ABFC-4A79-B292-30A5991877BF}" keepAlive="1" name="連線2310" type="5" refreshedVersion="0" background="1">
    <dbPr connection="Provider=Microsoft.Mashup.OleDb.1;Data Source=$Workbook$;Location=&quot;Table_00878_113_03&quot;;Extended Properties=&quot;&quot;" commandType="0"/>
  </connection>
  <connection id="1461" xr16:uid="{260B7790-5EE4-4DA7-AF0E-B70CB358776B}" keepAlive="1" name="連線2311" type="5" refreshedVersion="0" background="1">
    <dbPr connection="Provider=Microsoft.Mashup.OleDb.1;Data Source=$Workbook$;Location=&quot;Table_00878_113_02&quot;;Extended Properties=&quot;&quot;" commandType="0"/>
  </connection>
  <connection id="1462" xr16:uid="{F207B939-368E-49F6-873A-A25A80D79004}" keepAlive="1" name="連線2312" type="5" refreshedVersion="0" background="1">
    <dbPr connection="Provider=Microsoft.Mashup.OleDb.1;Data Source=$Workbook$;Location=&quot;Table_00878_113_01&quot;;Extended Properties=&quot;&quot;" commandType="0"/>
  </connection>
  <connection id="1463" xr16:uid="{6C9BFC07-0875-4EE7-886B-516E38E8237F}" keepAlive="1" name="連線2313" type="5" refreshedVersion="0" background="1">
    <dbPr connection="Provider=Microsoft.Mashup.OleDb.1;Data Source=$Workbook$;Location=&quot;Table_2330_113_03&quot;;Extended Properties=&quot;&quot;" commandType="0"/>
  </connection>
  <connection id="1464" xr16:uid="{BAACB92D-5F44-4333-B395-45CA354161C8}" keepAlive="1" name="連線2314" type="5" refreshedVersion="0" background="1">
    <dbPr connection="Provider=Microsoft.Mashup.OleDb.1;Data Source=$Workbook$;Location=&quot;Table_2330_113_02&quot;;Extended Properties=&quot;&quot;" commandType="0"/>
  </connection>
  <connection id="1465" xr16:uid="{DAA64200-7397-451E-841A-46CCF61FCB1D}" keepAlive="1" name="連線2315" type="5" refreshedVersion="0" background="1">
    <dbPr connection="Provider=Microsoft.Mashup.OleDb.1;Data Source=$Workbook$;Location=&quot;Table_2330_113_01&quot;;Extended Properties=&quot;&quot;" commandType="0"/>
  </connection>
  <connection id="1466" xr16:uid="{2469FE81-69AE-4976-992E-BD14B26A034C}" keepAlive="1" name="連線2316" type="5" refreshedVersion="0" background="1">
    <dbPr connection="Provider=Microsoft.Mashup.OleDb.1;Data Source=$Workbook$;Location=&quot;Table_2882_113_03&quot;;Extended Properties=&quot;&quot;" commandType="0"/>
  </connection>
  <connection id="1467" xr16:uid="{4F734F45-1289-424E-A15B-F296CBEEFF66}" keepAlive="1" name="連線2317" type="5" refreshedVersion="0" background="1">
    <dbPr connection="Provider=Microsoft.Mashup.OleDb.1;Data Source=$Workbook$;Location=&quot;Table_2882_113_02&quot;;Extended Properties=&quot;&quot;" commandType="0"/>
  </connection>
  <connection id="1468" xr16:uid="{45417E55-EF7D-4385-B854-BE2735FBA9BA}" keepAlive="1" name="連線2318" type="5" refreshedVersion="0" background="1">
    <dbPr connection="Provider=Microsoft.Mashup.OleDb.1;Data Source=$Workbook$;Location=&quot;Table_2882_113_01&quot;;Extended Properties=&quot;&quot;" commandType="0"/>
  </connection>
  <connection id="1469" xr16:uid="{4410A925-1C95-47B7-A973-EE37AD7A1165}" keepAlive="1" name="連線2319" type="5" refreshedVersion="0" background="1">
    <dbPr connection="Provider=Microsoft.Mashup.OleDb.1;Data Source=$Workbook$;Location=&quot;Table_0056_113_03&quot;;Extended Properties=&quot;&quot;" commandType="0"/>
  </connection>
  <connection id="1470" xr16:uid="{446D6308-B489-468E-9C4E-C41238FAD84D}" keepAlive="1" name="連線232" type="5" refreshedVersion="0" background="1">
    <dbPr connection="Provider=Microsoft.Mashup.OleDb.1;Data Source=$Workbook$;Location=&quot;Table_1101_113_01&quot;;Extended Properties=&quot;&quot;" commandType="0"/>
  </connection>
  <connection id="1471" xr16:uid="{1239F46E-060C-4702-BA2F-92A1CF23A986}" keepAlive="1" name="連線2320" type="5" refreshedVersion="0" background="1">
    <dbPr connection="Provider=Microsoft.Mashup.OleDb.1;Data Source=$Workbook$;Location=&quot;Table_0056_113_02&quot;;Extended Properties=&quot;&quot;" commandType="0"/>
  </connection>
  <connection id="1472" xr16:uid="{B37A4B10-E26A-4771-A01E-F41F19C8B3D3}" keepAlive="1" name="連線2321" type="5" refreshedVersion="0" background="1">
    <dbPr connection="Provider=Microsoft.Mashup.OleDb.1;Data Source=$Workbook$;Location=&quot;Table_0056_113_01&quot;;Extended Properties=&quot;&quot;" commandType="0"/>
  </connection>
  <connection id="1473" xr16:uid="{2422D262-217F-4AFF-B173-926F853E8702}" keepAlive="1" name="連線2322" type="5" refreshedVersion="0" background="1">
    <dbPr connection="Provider=Microsoft.Mashup.OleDb.1;Data Source=$Workbook$;Location=&quot;Table_2912_113_03&quot;;Extended Properties=&quot;&quot;" commandType="0"/>
  </connection>
  <connection id="1474" xr16:uid="{0E2A31C1-9985-4D18-8A38-A253915F548B}" keepAlive="1" name="連線2323" type="5" refreshedVersion="0" background="1">
    <dbPr connection="Provider=Microsoft.Mashup.OleDb.1;Data Source=$Workbook$;Location=&quot;Table_2912_113_02&quot;;Extended Properties=&quot;&quot;" commandType="0"/>
  </connection>
  <connection id="1475" xr16:uid="{9EFCE31D-1758-4B87-B0BE-A80C6409743A}" keepAlive="1" name="連線2324" type="5" refreshedVersion="0" background="1">
    <dbPr connection="Provider=Microsoft.Mashup.OleDb.1;Data Source=$Workbook$;Location=&quot;Table_2912_113_01&quot;;Extended Properties=&quot;&quot;" commandType="0"/>
  </connection>
  <connection id="1476" xr16:uid="{E6695B5E-6AC0-4D59-A46C-DD7086A1D49C}" keepAlive="1" name="連線2325" type="5" refreshedVersion="0" background="1">
    <dbPr connection="Provider=Microsoft.Mashup.OleDb.1;Data Source=$Workbook$;Location=&quot;Table_00878_113_03&quot;;Extended Properties=&quot;&quot;" commandType="0"/>
  </connection>
  <connection id="1477" xr16:uid="{2C22118F-87A0-49E1-9261-C2407CD5AA19}" keepAlive="1" name="連線2326" type="5" refreshedVersion="0" background="1">
    <dbPr connection="Provider=Microsoft.Mashup.OleDb.1;Data Source=$Workbook$;Location=&quot;Table_00878_113_02&quot;;Extended Properties=&quot;&quot;" commandType="0"/>
  </connection>
  <connection id="1478" xr16:uid="{08015D9E-0477-4D3B-B588-2905BCDF286E}" keepAlive="1" name="連線2327" type="5" refreshedVersion="0" background="1">
    <dbPr connection="Provider=Microsoft.Mashup.OleDb.1;Data Source=$Workbook$;Location=&quot;Table_00878_113_01&quot;;Extended Properties=&quot;&quot;" commandType="0"/>
  </connection>
  <connection id="1479" xr16:uid="{7898241E-5556-44F9-9F1A-F173950B70D0}" keepAlive="1" name="連線2328" type="5" refreshedVersion="0" background="1">
    <dbPr connection="Provider=Microsoft.Mashup.OleDb.1;Data Source=$Workbook$;Location=&quot;Table_2330_113_03&quot;;Extended Properties=&quot;&quot;" commandType="0"/>
  </connection>
  <connection id="1480" xr16:uid="{70ADF035-75EE-4AEE-A99B-2C6D1D39F0DD}" keepAlive="1" name="連線2329" type="5" refreshedVersion="0" background="1">
    <dbPr connection="Provider=Microsoft.Mashup.OleDb.1;Data Source=$Workbook$;Location=&quot;Table_2330_113_02&quot;;Extended Properties=&quot;&quot;" commandType="0"/>
  </connection>
  <connection id="1481" xr16:uid="{A447A675-D277-4248-AD29-1FF5CA2B390E}" keepAlive="1" name="連線233" type="5" refreshedVersion="0" background="1">
    <dbPr connection="Provider=Microsoft.Mashup.OleDb.1;Data Source=$Workbook$;Location=&quot;Table_1101_113_02&quot;;Extended Properties=&quot;&quot;" commandType="0"/>
  </connection>
  <connection id="1482" xr16:uid="{F6084A70-6775-4A18-A833-B5D8C1256AB4}" keepAlive="1" name="連線2330" type="5" refreshedVersion="0" background="1">
    <dbPr connection="Provider=Microsoft.Mashup.OleDb.1;Data Source=$Workbook$;Location=&quot;Table_2330_113_01&quot;;Extended Properties=&quot;&quot;" commandType="0"/>
  </connection>
  <connection id="1483" xr16:uid="{E69A7DDF-BACD-43AA-AC75-4C67B5A0707F}" keepAlive="1" name="連線2331" type="5" refreshedVersion="0" background="1">
    <dbPr connection="Provider=Microsoft.Mashup.OleDb.1;Data Source=$Workbook$;Location=&quot;Table_2882_113_03&quot;;Extended Properties=&quot;&quot;" commandType="0"/>
  </connection>
  <connection id="1484" xr16:uid="{E7EC5550-21D8-478C-8F74-EB83712D504E}" keepAlive="1" name="連線2332" type="5" refreshedVersion="0" background="1">
    <dbPr connection="Provider=Microsoft.Mashup.OleDb.1;Data Source=$Workbook$;Location=&quot;Table_2882_113_02&quot;;Extended Properties=&quot;&quot;" commandType="0"/>
  </connection>
  <connection id="1485" xr16:uid="{D4DC4FF0-17EE-4845-B439-8D77C732C2B8}" keepAlive="1" name="連線2333" type="5" refreshedVersion="0" background="1">
    <dbPr connection="Provider=Microsoft.Mashup.OleDb.1;Data Source=$Workbook$;Location=&quot;Table_2882_113_01&quot;;Extended Properties=&quot;&quot;" commandType="0"/>
  </connection>
  <connection id="1486" xr16:uid="{2F348B69-DC3F-4F04-BFFA-1798CC748A5C}" keepAlive="1" name="連線2334" type="5" refreshedVersion="0" background="1">
    <dbPr connection="Provider=Microsoft.Mashup.OleDb.1;Data Source=$Workbook$;Location=&quot;Table_0056_113_03&quot;;Extended Properties=&quot;&quot;" commandType="0"/>
  </connection>
  <connection id="1487" xr16:uid="{4BEC3AFF-CB01-403D-A6E5-4836110722E2}" keepAlive="1" name="連線2335" type="5" refreshedVersion="0" background="1">
    <dbPr connection="Provider=Microsoft.Mashup.OleDb.1;Data Source=$Workbook$;Location=&quot;Table_0056_113_02&quot;;Extended Properties=&quot;&quot;" commandType="0"/>
  </connection>
  <connection id="1488" xr16:uid="{41C0F001-02FC-43B2-B891-E1D608335CAB}" keepAlive="1" name="連線2336" type="5" refreshedVersion="0" background="1">
    <dbPr connection="Provider=Microsoft.Mashup.OleDb.1;Data Source=$Workbook$;Location=&quot;Table_0056_113_01&quot;;Extended Properties=&quot;&quot;" commandType="0"/>
  </connection>
  <connection id="1489" xr16:uid="{DDB60D9E-9AED-402F-8FB3-6A95752C32BF}" keepAlive="1" name="連線2337" type="5" refreshedVersion="0" background="1">
    <dbPr connection="Provider=Microsoft.Mashup.OleDb.1;Data Source=$Workbook$;Location=&quot;Table_2912_113_03&quot;;Extended Properties=&quot;&quot;" commandType="0"/>
  </connection>
  <connection id="1490" xr16:uid="{8911E527-F0B7-42B9-9FD1-8BD9940AE9B0}" keepAlive="1" name="連線2338" type="5" refreshedVersion="0" background="1">
    <dbPr connection="Provider=Microsoft.Mashup.OleDb.1;Data Source=$Workbook$;Location=&quot;Table_2912_113_02&quot;;Extended Properties=&quot;&quot;" commandType="0"/>
  </connection>
  <connection id="1491" xr16:uid="{C4F00B6C-EDC6-46DB-A0A8-D00009EA331F}" keepAlive="1" name="連線2339" type="5" refreshedVersion="0" background="1">
    <dbPr connection="Provider=Microsoft.Mashup.OleDb.1;Data Source=$Workbook$;Location=&quot;Table_2912_113_01&quot;;Extended Properties=&quot;&quot;" commandType="0"/>
  </connection>
  <connection id="1492" xr16:uid="{233A00F6-B767-4A59-BAF3-508E8AA4E16B}" keepAlive="1" name="連線234" type="5" refreshedVersion="0" background="1">
    <dbPr connection="Provider=Microsoft.Mashup.OleDb.1;Data Source=$Workbook$;Location=&quot;Table_1101_113_03&quot;;Extended Properties=&quot;&quot;" commandType="0"/>
  </connection>
  <connection id="1493" xr16:uid="{BBCFFC85-EF66-47F4-9D9F-7C434D11AB38}" keepAlive="1" name="連線2340" type="5" refreshedVersion="0" background="1">
    <dbPr connection="Provider=Microsoft.Mashup.OleDb.1;Data Source=$Workbook$;Location=&quot;Table_00878_113_03&quot;;Extended Properties=&quot;&quot;" commandType="0"/>
  </connection>
  <connection id="1494" xr16:uid="{721095A8-F240-49AC-8AEE-56F46680DB00}" keepAlive="1" name="連線2341" type="5" refreshedVersion="0" background="1">
    <dbPr connection="Provider=Microsoft.Mashup.OleDb.1;Data Source=$Workbook$;Location=&quot;Table_00878_113_02&quot;;Extended Properties=&quot;&quot;" commandType="0"/>
  </connection>
  <connection id="1495" xr16:uid="{7609EDF2-3E07-4F2E-BA53-D406055CE755}" keepAlive="1" name="連線2342" type="5" refreshedVersion="0" background="1">
    <dbPr connection="Provider=Microsoft.Mashup.OleDb.1;Data Source=$Workbook$;Location=&quot;Table_00878_113_01&quot;;Extended Properties=&quot;&quot;" commandType="0"/>
  </connection>
  <connection id="1496" xr16:uid="{B44CA035-D7A6-4FB2-91AF-EBDCBC0952DE}" keepAlive="1" name="連線2343" type="5" refreshedVersion="0" background="1">
    <dbPr connection="Provider=Microsoft.Mashup.OleDb.1;Data Source=$Workbook$;Location=&quot;Table_2330_113_03&quot;;Extended Properties=&quot;&quot;" commandType="0"/>
  </connection>
  <connection id="1497" xr16:uid="{D0215F37-93DB-43C3-B273-5D2D49B8915C}" keepAlive="1" name="連線2344" type="5" refreshedVersion="0" background="1">
    <dbPr connection="Provider=Microsoft.Mashup.OleDb.1;Data Source=$Workbook$;Location=&quot;Table_2330_113_02&quot;;Extended Properties=&quot;&quot;" commandType="0"/>
  </connection>
  <connection id="1498" xr16:uid="{5CF5F65C-D9EE-4C3B-A6AD-11E69FF4D1BC}" keepAlive="1" name="連線2345" type="5" refreshedVersion="0" background="1">
    <dbPr connection="Provider=Microsoft.Mashup.OleDb.1;Data Source=$Workbook$;Location=&quot;Table_2330_113_01&quot;;Extended Properties=&quot;&quot;" commandType="0"/>
  </connection>
  <connection id="1499" xr16:uid="{058C5C78-B10D-4451-89F2-72DF6ADAB573}" keepAlive="1" name="連線2346" type="5" refreshedVersion="0" background="1">
    <dbPr connection="Provider=Microsoft.Mashup.OleDb.1;Data Source=$Workbook$;Location=&quot;Table_2882_113_03&quot;;Extended Properties=&quot;&quot;" commandType="0"/>
  </connection>
  <connection id="1500" xr16:uid="{D04CD26F-9AD9-462A-A7AF-C09112F2B62F}" keepAlive="1" name="連線2347" type="5" refreshedVersion="0" background="1">
    <dbPr connection="Provider=Microsoft.Mashup.OleDb.1;Data Source=$Workbook$;Location=&quot;Table_2882_113_02&quot;;Extended Properties=&quot;&quot;" commandType="0"/>
  </connection>
  <connection id="1501" xr16:uid="{349413BB-BCD6-47BD-8A45-E7137CF33D6B}" keepAlive="1" name="連線2348" type="5" refreshedVersion="0" background="1">
    <dbPr connection="Provider=Microsoft.Mashup.OleDb.1;Data Source=$Workbook$;Location=&quot;Table_2882_113_01&quot;;Extended Properties=&quot;&quot;" commandType="0"/>
  </connection>
  <connection id="1502" xr16:uid="{D92BC90D-C54A-4F46-900B-9D17B32E38C8}" keepAlive="1" name="連線2349" type="5" refreshedVersion="0" background="1">
    <dbPr connection="Provider=Microsoft.Mashup.OleDb.1;Data Source=$Workbook$;Location=&quot;Table_0056_113_03&quot;;Extended Properties=&quot;&quot;" commandType="0"/>
  </connection>
  <connection id="1503" xr16:uid="{910B3221-2F3A-402D-A1C5-A076F5863BBA}" keepAlive="1" name="連線235" type="5" refreshedVersion="0" background="1">
    <dbPr connection="Provider=Microsoft.Mashup.OleDb.1;Data Source=$Workbook$;Location=&quot;Table_2912_113_01&quot;;Extended Properties=&quot;&quot;" commandType="0"/>
  </connection>
  <connection id="1504" xr16:uid="{6040D8F5-39A5-498E-B52B-9FB6E84850AF}" keepAlive="1" name="連線2350" type="5" refreshedVersion="0" background="1">
    <dbPr connection="Provider=Microsoft.Mashup.OleDb.1;Data Source=$Workbook$;Location=&quot;Table_0056_113_02&quot;;Extended Properties=&quot;&quot;" commandType="0"/>
  </connection>
  <connection id="1505" xr16:uid="{A4FB6CA4-883B-4FE4-83B8-32CCE459908E}" keepAlive="1" name="連線2351" type="5" refreshedVersion="0" background="1">
    <dbPr connection="Provider=Microsoft.Mashup.OleDb.1;Data Source=$Workbook$;Location=&quot;Table_0056_113_01&quot;;Extended Properties=&quot;&quot;" commandType="0"/>
  </connection>
  <connection id="1506" xr16:uid="{0BFA5132-1F09-4F93-A9B1-1B353697BB3E}" keepAlive="1" name="連線2352" type="5" refreshedVersion="0" background="1">
    <dbPr connection="Provider=Microsoft.Mashup.OleDb.1;Data Source=$Workbook$;Location=&quot;Table_2912_113_03&quot;;Extended Properties=&quot;&quot;" commandType="0"/>
  </connection>
  <connection id="1507" xr16:uid="{86524C6F-4568-4A66-BB60-B80C69F53928}" keepAlive="1" name="連線2353" type="5" refreshedVersion="0" background="1">
    <dbPr connection="Provider=Microsoft.Mashup.OleDb.1;Data Source=$Workbook$;Location=&quot;Table_2912_113_02&quot;;Extended Properties=&quot;&quot;" commandType="0"/>
  </connection>
  <connection id="1508" xr16:uid="{E3EE2CDC-A2AF-4C44-863B-E8E32D94570F}" keepAlive="1" name="連線2354" type="5" refreshedVersion="0" background="1">
    <dbPr connection="Provider=Microsoft.Mashup.OleDb.1;Data Source=$Workbook$;Location=&quot;Table_2912_113_01&quot;;Extended Properties=&quot;&quot;" commandType="0"/>
  </connection>
  <connection id="1509" xr16:uid="{B76257AB-EF02-460A-96E7-570977ABBC8F}" keepAlive="1" name="連線2355" type="5" refreshedVersion="0" background="1">
    <dbPr connection="Provider=Microsoft.Mashup.OleDb.1;Data Source=$Workbook$;Location=&quot;Table_00878_113_03&quot;;Extended Properties=&quot;&quot;" commandType="0"/>
  </connection>
  <connection id="1510" xr16:uid="{D00315D9-BB74-4ADE-989C-02A94E55A31D}" keepAlive="1" name="連線2356" type="5" refreshedVersion="0" background="1">
    <dbPr connection="Provider=Microsoft.Mashup.OleDb.1;Data Source=$Workbook$;Location=&quot;Table_00878_113_02&quot;;Extended Properties=&quot;&quot;" commandType="0"/>
  </connection>
  <connection id="1511" xr16:uid="{44907E57-7723-4A28-80B3-CC8E0C2F2A88}" keepAlive="1" name="連線2357" type="5" refreshedVersion="0" background="1">
    <dbPr connection="Provider=Microsoft.Mashup.OleDb.1;Data Source=$Workbook$;Location=&quot;Table_00878_113_01&quot;;Extended Properties=&quot;&quot;" commandType="0"/>
  </connection>
  <connection id="1512" xr16:uid="{273BADDE-FFCE-49D7-8D04-C89392F41A83}" keepAlive="1" name="連線2358" type="5" refreshedVersion="0" background="1">
    <dbPr connection="Provider=Microsoft.Mashup.OleDb.1;Data Source=$Workbook$;Location=&quot;Table_2330_113_03&quot;;Extended Properties=&quot;&quot;" commandType="0"/>
  </connection>
  <connection id="1513" xr16:uid="{43234124-0C35-4BEB-8EBC-BF6EF00EB9B4}" keepAlive="1" name="連線2359" type="5" refreshedVersion="0" background="1">
    <dbPr connection="Provider=Microsoft.Mashup.OleDb.1;Data Source=$Workbook$;Location=&quot;Table_2330_113_03&quot;;Extended Properties=&quot;&quot;" commandType="0"/>
  </connection>
  <connection id="1514" xr16:uid="{9CDCA569-E49A-4BE9-AA5B-F6594FEE306C}" keepAlive="1" name="連線236" type="5" refreshedVersion="0" background="1">
    <dbPr connection="Provider=Microsoft.Mashup.OleDb.1;Data Source=$Workbook$;Location=&quot;Table_2912_113_02&quot;;Extended Properties=&quot;&quot;" commandType="0"/>
  </connection>
  <connection id="1515" xr16:uid="{1D243E5F-189C-46C8-9576-82CD54A4A15F}" keepAlive="1" name="連線2360" type="5" refreshedVersion="0" background="1">
    <dbPr connection="Provider=Microsoft.Mashup.OleDb.1;Data Source=$Workbook$;Location=&quot;Table_2330_113_03&quot;;Extended Properties=&quot;&quot;" commandType="0"/>
  </connection>
  <connection id="1516" xr16:uid="{541BFFAD-C0FA-4A8A-8DF9-712ADA27C6C9}" keepAlive="1" name="連線2361" type="5" refreshedVersion="0" background="1">
    <dbPr connection="Provider=Microsoft.Mashup.OleDb.1;Data Source=$Workbook$;Location=&quot;Table_2330_113_02&quot;;Extended Properties=&quot;&quot;" commandType="0"/>
  </connection>
  <connection id="1517" xr16:uid="{C440E797-67B9-4D46-BE98-FC2F1A99EF38}" keepAlive="1" name="連線2362" type="5" refreshedVersion="0" background="1">
    <dbPr connection="Provider=Microsoft.Mashup.OleDb.1;Data Source=$Workbook$;Location=&quot;Table_2330_113_01&quot;;Extended Properties=&quot;&quot;" commandType="0"/>
  </connection>
  <connection id="1518" xr16:uid="{C41960C0-6695-4C6E-BE8C-CCA6FDD18651}" keepAlive="1" name="連線2363" type="5" refreshedVersion="0" background="1">
    <dbPr connection="Provider=Microsoft.Mashup.OleDb.1;Data Source=$Workbook$;Location=&quot;Table_2882_113_03&quot;;Extended Properties=&quot;&quot;" commandType="0"/>
  </connection>
  <connection id="1519" xr16:uid="{3DBF53C9-3241-4739-A576-8DD537F5AE35}" keepAlive="1" name="連線2364" type="5" refreshedVersion="0" background="1">
    <dbPr connection="Provider=Microsoft.Mashup.OleDb.1;Data Source=$Workbook$;Location=&quot;Table_2882_113_02&quot;;Extended Properties=&quot;&quot;" commandType="0"/>
  </connection>
  <connection id="1520" xr16:uid="{3041D215-C211-4F83-9E3C-DA4783C4431B}" keepAlive="1" name="連線2365" type="5" refreshedVersion="0" background="1">
    <dbPr connection="Provider=Microsoft.Mashup.OleDb.1;Data Source=$Workbook$;Location=&quot;Table_2882_113_01&quot;;Extended Properties=&quot;&quot;" commandType="0"/>
  </connection>
  <connection id="1521" xr16:uid="{85120715-08F3-4803-83D3-5F805F775283}" keepAlive="1" name="連線2366" type="5" refreshedVersion="0" background="1">
    <dbPr connection="Provider=Microsoft.Mashup.OleDb.1;Data Source=$Workbook$;Location=&quot;Table_00878_113_03&quot;;Extended Properties=&quot;&quot;" commandType="0"/>
  </connection>
  <connection id="1522" xr16:uid="{9FF755D8-C97D-424F-8BAF-130ED8F9CC66}" keepAlive="1" name="連線2367" type="5" refreshedVersion="0" background="1">
    <dbPr connection="Provider=Microsoft.Mashup.OleDb.1;Data Source=$Workbook$;Location=&quot;Table_00878_113_02&quot;;Extended Properties=&quot;&quot;" commandType="0"/>
  </connection>
  <connection id="1523" xr16:uid="{6AF4CECB-987F-4E5F-BC59-48CCFE523DE5}" keepAlive="1" name="連線2368" type="5" refreshedVersion="0" background="1">
    <dbPr connection="Provider=Microsoft.Mashup.OleDb.1;Data Source=$Workbook$;Location=&quot;Table_00878_113_01&quot;;Extended Properties=&quot;&quot;" commandType="0"/>
  </connection>
  <connection id="1524" xr16:uid="{A694802F-403B-46DE-87A6-232CA4C2DA45}" keepAlive="1" name="連線2369" type="5" refreshedVersion="0" background="1">
    <dbPr connection="Provider=Microsoft.Mashup.OleDb.1;Data Source=$Workbook$;Location=&quot;Table_2912_113_03&quot;;Extended Properties=&quot;&quot;" commandType="0"/>
  </connection>
  <connection id="1525" xr16:uid="{2271F35D-DD1F-4098-AC4D-1C3E987D9ACB}" keepAlive="1" name="連線237" type="5" refreshedVersion="0" background="1">
    <dbPr connection="Provider=Microsoft.Mashup.OleDb.1;Data Source=$Workbook$;Location=&quot;Table_2912_113_03&quot;;Extended Properties=&quot;&quot;" commandType="0"/>
  </connection>
  <connection id="1526" xr16:uid="{413904A2-BC01-4E86-914C-6F4627CEA6C5}" keepAlive="1" name="連線2370" type="5" refreshedVersion="0" background="1">
    <dbPr connection="Provider=Microsoft.Mashup.OleDb.1;Data Source=$Workbook$;Location=&quot;Table_2912_113_02&quot;;Extended Properties=&quot;&quot;" commandType="0"/>
  </connection>
  <connection id="1527" xr16:uid="{B8E27E71-B967-4C92-9A51-2D9B856F8FC5}" keepAlive="1" name="連線2371" type="5" refreshedVersion="0" background="1">
    <dbPr connection="Provider=Microsoft.Mashup.OleDb.1;Data Source=$Workbook$;Location=&quot;Table_2912_113_01&quot;;Extended Properties=&quot;&quot;" commandType="0"/>
  </connection>
  <connection id="1528" xr16:uid="{55C7046E-E1EB-4CCC-A6DA-3E17764C454A}" keepAlive="1" name="連線2372" type="5" refreshedVersion="0" background="1">
    <dbPr connection="Provider=Microsoft.Mashup.OleDb.1;Data Source=$Workbook$;Location=&quot;Table_0056_113_03&quot;;Extended Properties=&quot;&quot;" commandType="0"/>
  </connection>
  <connection id="1529" xr16:uid="{4B3046D3-11B4-4C96-97A3-2E1CDBBE8345}" keepAlive="1" name="連線2373" type="5" refreshedVersion="0" background="1">
    <dbPr connection="Provider=Microsoft.Mashup.OleDb.1;Data Source=$Workbook$;Location=&quot;Table_0056_113_02&quot;;Extended Properties=&quot;&quot;" commandType="0"/>
  </connection>
  <connection id="1530" xr16:uid="{7E6E7238-101D-40DB-AE9F-9B9363FE3494}" keepAlive="1" name="連線2374" type="5" refreshedVersion="0" background="1">
    <dbPr connection="Provider=Microsoft.Mashup.OleDb.1;Data Source=$Workbook$;Location=&quot;Table_0056_113_01&quot;;Extended Properties=&quot;&quot;" commandType="0"/>
  </connection>
  <connection id="1531" xr16:uid="{D66D03D1-03B3-4693-8FB5-8DD91484B411}" keepAlive="1" name="連線2375" type="5" refreshedVersion="0" background="1">
    <dbPr connection="Provider=Microsoft.Mashup.OleDb.1;Data Source=$Workbook$;Location=&quot;Table_2330_113_03&quot;;Extended Properties=&quot;&quot;" commandType="0"/>
  </connection>
  <connection id="1532" xr16:uid="{607B68C1-C965-4466-8F0B-175B39887DA7}" keepAlive="1" name="連線2376" type="5" refreshedVersion="0" background="1">
    <dbPr connection="Provider=Microsoft.Mashup.OleDb.1;Data Source=$Workbook$;Location=&quot;Table_2330_113_02&quot;;Extended Properties=&quot;&quot;" commandType="0"/>
  </connection>
  <connection id="1533" xr16:uid="{FB2A646D-E9D4-434A-BFFB-95C15A0D3051}" keepAlive="1" name="連線2377" type="5" refreshedVersion="0" background="1">
    <dbPr connection="Provider=Microsoft.Mashup.OleDb.1;Data Source=$Workbook$;Location=&quot;Table_2330_113_01&quot;;Extended Properties=&quot;&quot;" commandType="0"/>
  </connection>
  <connection id="1534" xr16:uid="{0CE1462A-5951-4CEB-9761-33EF2F50B900}" keepAlive="1" name="連線2378" type="5" refreshedVersion="0" background="1">
    <dbPr connection="Provider=Microsoft.Mashup.OleDb.1;Data Source=$Workbook$;Location=&quot;Table_2882_113_03&quot;;Extended Properties=&quot;&quot;" commandType="0"/>
  </connection>
  <connection id="1535" xr16:uid="{B700D57B-B850-4AB6-8BFA-0223A54CFE33}" keepAlive="1" name="連線2379" type="5" refreshedVersion="0" background="1">
    <dbPr connection="Provider=Microsoft.Mashup.OleDb.1;Data Source=$Workbook$;Location=&quot;Table_2882_113_02&quot;;Extended Properties=&quot;&quot;" commandType="0"/>
  </connection>
  <connection id="1536" xr16:uid="{5B0356EB-0307-4E5C-BD36-B8D4AC854CF3}" keepAlive="1" name="連線238" type="5" refreshedVersion="0" background="1">
    <dbPr connection="Provider=Microsoft.Mashup.OleDb.1;Data Source=$Workbook$;Location=&quot;Table_2002_113_01&quot;;Extended Properties=&quot;&quot;" commandType="0"/>
  </connection>
  <connection id="1537" xr16:uid="{80D3CED5-A335-4E22-A2C1-AA109F24489F}" keepAlive="1" name="連線2380" type="5" refreshedVersion="0" background="1">
    <dbPr connection="Provider=Microsoft.Mashup.OleDb.1;Data Source=$Workbook$;Location=&quot;Table_2882_113_01&quot;;Extended Properties=&quot;&quot;" commandType="0"/>
  </connection>
  <connection id="1538" xr16:uid="{7CBF4A34-A0C0-40B6-B985-D4820441818C}" keepAlive="1" name="連線2381" type="5" refreshedVersion="0" background="1">
    <dbPr connection="Provider=Microsoft.Mashup.OleDb.1;Data Source=$Workbook$;Location=&quot;Table_00878_113_03&quot;;Extended Properties=&quot;&quot;" commandType="0"/>
  </connection>
  <connection id="1539" xr16:uid="{563A7A63-FC70-48EB-881A-ED8DED2456F5}" keepAlive="1" name="連線2382" type="5" refreshedVersion="0" background="1">
    <dbPr connection="Provider=Microsoft.Mashup.OleDb.1;Data Source=$Workbook$;Location=&quot;Table_00878_113_02&quot;;Extended Properties=&quot;&quot;" commandType="0"/>
  </connection>
  <connection id="1540" xr16:uid="{07CEF98C-821E-43B3-B114-4BB9569DA8EA}" keepAlive="1" name="連線2383" type="5" refreshedVersion="0" background="1">
    <dbPr connection="Provider=Microsoft.Mashup.OleDb.1;Data Source=$Workbook$;Location=&quot;Table_00878_113_01&quot;;Extended Properties=&quot;&quot;" commandType="0"/>
  </connection>
  <connection id="1541" xr16:uid="{BCAC57A4-D528-4EC3-B0F4-B2C0F97F5CDA}" keepAlive="1" name="連線2384" type="5" refreshedVersion="0" background="1">
    <dbPr connection="Provider=Microsoft.Mashup.OleDb.1;Data Source=$Workbook$;Location=&quot;Table_2912_113_03&quot;;Extended Properties=&quot;&quot;" commandType="0"/>
  </connection>
  <connection id="1542" xr16:uid="{1C8E03E0-0BE3-4BE4-B01B-2A5A2DA4D310}" keepAlive="1" name="連線2385" type="5" refreshedVersion="0" background="1">
    <dbPr connection="Provider=Microsoft.Mashup.OleDb.1;Data Source=$Workbook$;Location=&quot;Table_2912_113_02&quot;;Extended Properties=&quot;&quot;" commandType="0"/>
  </connection>
  <connection id="1543" xr16:uid="{8689F81B-E13B-42B4-8F47-FC8555BD694D}" keepAlive="1" name="連線2386" type="5" refreshedVersion="0" background="1">
    <dbPr connection="Provider=Microsoft.Mashup.OleDb.1;Data Source=$Workbook$;Location=&quot;Table_2912_113_01&quot;;Extended Properties=&quot;&quot;" commandType="0"/>
  </connection>
  <connection id="1544" xr16:uid="{7E450EFA-B568-494D-B187-193C884D3E40}" keepAlive="1" name="連線2387" type="5" refreshedVersion="0" background="1">
    <dbPr connection="Provider=Microsoft.Mashup.OleDb.1;Data Source=$Workbook$;Location=&quot;Table_0056_113_03&quot;;Extended Properties=&quot;&quot;" commandType="0"/>
  </connection>
  <connection id="1545" xr16:uid="{F5C9CB0A-BD9D-4922-8822-DCBBB1B0C0C8}" keepAlive="1" name="連線2388" type="5" refreshedVersion="0" background="1">
    <dbPr connection="Provider=Microsoft.Mashup.OleDb.1;Data Source=$Workbook$;Location=&quot;Table_0056_113_02&quot;;Extended Properties=&quot;&quot;" commandType="0"/>
  </connection>
  <connection id="1546" xr16:uid="{623AAF77-D62F-4954-A1EC-03860458D048}" keepAlive="1" name="連線2389" type="5" refreshedVersion="0" background="1">
    <dbPr connection="Provider=Microsoft.Mashup.OleDb.1;Data Source=$Workbook$;Location=&quot;Table_0056_113_01&quot;;Extended Properties=&quot;&quot;" commandType="0"/>
  </connection>
  <connection id="1547" xr16:uid="{2D1FA632-0511-4E29-A58E-04516874EBA3}" keepAlive="1" name="連線239" type="5" refreshedVersion="0" background="1">
    <dbPr connection="Provider=Microsoft.Mashup.OleDb.1;Data Source=$Workbook$;Location=&quot;Table_2002_113_02&quot;;Extended Properties=&quot;&quot;" commandType="0"/>
  </connection>
  <connection id="1548" xr16:uid="{27E87E22-7264-4889-8645-5C78CE4691AB}" keepAlive="1" name="連線2390" type="5" refreshedVersion="0" background="1">
    <dbPr connection="Provider=Microsoft.Mashup.OleDb.1;Data Source=$Workbook$;Location=&quot;Table_2330_113_03&quot;;Extended Properties=&quot;&quot;" commandType="0"/>
  </connection>
  <connection id="1549" xr16:uid="{DA0CAD57-F990-4B50-8747-A83B7A31EA1B}" keepAlive="1" name="連線2391" type="5" refreshedVersion="0" background="1">
    <dbPr connection="Provider=Microsoft.Mashup.OleDb.1;Data Source=$Workbook$;Location=&quot;Table_2330_113_02&quot;;Extended Properties=&quot;&quot;" commandType="0"/>
  </connection>
  <connection id="1550" xr16:uid="{D9590E68-2563-4B13-B197-7DC76F109411}" keepAlive="1" name="連線2392" type="5" refreshedVersion="0" background="1">
    <dbPr connection="Provider=Microsoft.Mashup.OleDb.1;Data Source=$Workbook$;Location=&quot;Table_2330_113_01&quot;;Extended Properties=&quot;&quot;" commandType="0"/>
  </connection>
  <connection id="1551" xr16:uid="{39D9CCFC-F045-4C2B-8BC0-EAC502E0ED85}" keepAlive="1" name="連線2393" type="5" refreshedVersion="0" background="1">
    <dbPr connection="Provider=Microsoft.Mashup.OleDb.1;Data Source=$Workbook$;Location=&quot;Table_2882_113_03&quot;;Extended Properties=&quot;&quot;" commandType="0"/>
  </connection>
  <connection id="1552" xr16:uid="{86A516C8-5F42-439A-9002-6D3FE1440327}" keepAlive="1" name="連線2394" type="5" refreshedVersion="0" background="1">
    <dbPr connection="Provider=Microsoft.Mashup.OleDb.1;Data Source=$Workbook$;Location=&quot;Table_2882_113_02&quot;;Extended Properties=&quot;&quot;" commandType="0"/>
  </connection>
  <connection id="1553" xr16:uid="{18AB538C-4372-471F-B4AA-C9F913E18F18}" keepAlive="1" name="連線2395" type="5" refreshedVersion="0" background="1">
    <dbPr connection="Provider=Microsoft.Mashup.OleDb.1;Data Source=$Workbook$;Location=&quot;Table_2882_113_01&quot;;Extended Properties=&quot;&quot;" commandType="0"/>
  </connection>
  <connection id="1554" xr16:uid="{7BEE8F10-C890-4444-A260-E2BC9365F148}" keepAlive="1" name="連線2396" type="5" refreshedVersion="0" background="1">
    <dbPr connection="Provider=Microsoft.Mashup.OleDb.1;Data Source=$Workbook$;Location=&quot;Table_00878_113_03&quot;;Extended Properties=&quot;&quot;" commandType="0"/>
  </connection>
  <connection id="1555" xr16:uid="{5C18EFFA-3BB9-43F7-A285-067ECAB474DA}" keepAlive="1" name="連線2397" type="5" refreshedVersion="0" background="1">
    <dbPr connection="Provider=Microsoft.Mashup.OleDb.1;Data Source=$Workbook$;Location=&quot;Table_00878_113_02&quot;;Extended Properties=&quot;&quot;" commandType="0"/>
  </connection>
  <connection id="1556" xr16:uid="{A93DA0F1-E647-412D-BD67-8BFAB60F6F93}" keepAlive="1" name="連線2398" type="5" refreshedVersion="0" background="1">
    <dbPr connection="Provider=Microsoft.Mashup.OleDb.1;Data Source=$Workbook$;Location=&quot;Table_00878_113_01&quot;;Extended Properties=&quot;&quot;" commandType="0"/>
  </connection>
  <connection id="1557" xr16:uid="{BA775F9B-5FEB-4669-8175-42276F5DBA72}" keepAlive="1" name="連線2399" type="5" refreshedVersion="0" background="1">
    <dbPr connection="Provider=Microsoft.Mashup.OleDb.1;Data Source=$Workbook$;Location=&quot;Table_2912_113_03&quot;;Extended Properties=&quot;&quot;" commandType="0"/>
  </connection>
  <connection id="1558" xr16:uid="{6EE3047F-BBD0-4CF6-A41A-41F2D698A91A}" keepAlive="1" name="連線24" type="5" refreshedVersion="0" background="1">
    <dbPr connection="Provider=Microsoft.Mashup.OleDb.1;Data Source=$Workbook$;Location=&quot;Table 7&quot;;Extended Properties=&quot;&quot;" commandType="0"/>
  </connection>
  <connection id="1559" xr16:uid="{0A76A438-8494-4F3E-977B-1A317955E609}" keepAlive="1" name="連線240" type="5" refreshedVersion="0" background="1">
    <dbPr connection="Provider=Microsoft.Mashup.OleDb.1;Data Source=$Workbook$;Location=&quot;Table_2002_113_03&quot;;Extended Properties=&quot;&quot;" commandType="0"/>
  </connection>
  <connection id="1560" xr16:uid="{CF4C6368-AC1D-422C-92F5-B08806DEF27C}" keepAlive="1" name="連線2400" type="5" refreshedVersion="0" background="1">
    <dbPr connection="Provider=Microsoft.Mashup.OleDb.1;Data Source=$Workbook$;Location=&quot;Table_2912_113_02&quot;;Extended Properties=&quot;&quot;" commandType="0"/>
  </connection>
  <connection id="1561" xr16:uid="{A44891D4-FD8C-4E7B-A30F-A0C012905563}" keepAlive="1" name="連線2401" type="5" refreshedVersion="0" background="1">
    <dbPr connection="Provider=Microsoft.Mashup.OleDb.1;Data Source=$Workbook$;Location=&quot;Table_2912_113_01&quot;;Extended Properties=&quot;&quot;" commandType="0"/>
  </connection>
  <connection id="1562" xr16:uid="{C313C058-9911-4565-BB44-8A87DECA8A93}" keepAlive="1" name="連線2402" type="5" refreshedVersion="0" background="1">
    <dbPr connection="Provider=Microsoft.Mashup.OleDb.1;Data Source=$Workbook$;Location=&quot;Table_0056_113_03&quot;;Extended Properties=&quot;&quot;" commandType="0"/>
  </connection>
  <connection id="1563" xr16:uid="{F7701928-3956-4F46-9355-30869E5C09BE}" keepAlive="1" name="連線2403" type="5" refreshedVersion="0" background="1">
    <dbPr connection="Provider=Microsoft.Mashup.OleDb.1;Data Source=$Workbook$;Location=&quot;Table_0056_113_02&quot;;Extended Properties=&quot;&quot;" commandType="0"/>
  </connection>
  <connection id="1564" xr16:uid="{6BA74F1B-06E6-4FDF-A910-ACB7CC805EDF}" keepAlive="1" name="連線2404" type="5" refreshedVersion="0" background="1">
    <dbPr connection="Provider=Microsoft.Mashup.OleDb.1;Data Source=$Workbook$;Location=&quot;Table_0056_113_01&quot;;Extended Properties=&quot;&quot;" commandType="0"/>
  </connection>
  <connection id="1565" xr16:uid="{76195F2A-BF2D-401D-ACD8-C0BE01B7BE05}" keepAlive="1" name="連線2405" type="5" refreshedVersion="0" background="1">
    <dbPr connection="Provider=Microsoft.Mashup.OleDb.1;Data Source=$Workbook$;Location=&quot;Table_2330_113_03&quot;;Extended Properties=&quot;&quot;" commandType="0"/>
  </connection>
  <connection id="1566" xr16:uid="{B8C28FFC-B945-4A46-967C-381378904DFC}" keepAlive="1" name="連線2406" type="5" refreshedVersion="0" background="1">
    <dbPr connection="Provider=Microsoft.Mashup.OleDb.1;Data Source=$Workbook$;Location=&quot;Table_2330_113_02&quot;;Extended Properties=&quot;&quot;" commandType="0"/>
  </connection>
  <connection id="1567" xr16:uid="{250BE59B-9AFB-4899-8350-41C02DFC832F}" keepAlive="1" name="連線2407" type="5" refreshedVersion="0" background="1">
    <dbPr connection="Provider=Microsoft.Mashup.OleDb.1;Data Source=$Workbook$;Location=&quot;Table_2330_113_01&quot;;Extended Properties=&quot;&quot;" commandType="0"/>
  </connection>
  <connection id="1568" xr16:uid="{DD024493-2B88-49C2-9DAD-4B96CD418E9A}" keepAlive="1" name="連線2408" type="5" refreshedVersion="0" background="1">
    <dbPr connection="Provider=Microsoft.Mashup.OleDb.1;Data Source=$Workbook$;Location=&quot;Table_2882_113_03&quot;;Extended Properties=&quot;&quot;" commandType="0"/>
  </connection>
  <connection id="1569" xr16:uid="{1EE71406-0A00-4C66-9523-E6149368BE95}" keepAlive="1" name="連線2409" type="5" refreshedVersion="0" background="1">
    <dbPr connection="Provider=Microsoft.Mashup.OleDb.1;Data Source=$Workbook$;Location=&quot;Table_2882_113_02&quot;;Extended Properties=&quot;&quot;" commandType="0"/>
  </connection>
  <connection id="1570" xr16:uid="{F531154C-CDC0-4009-8F7D-73038D962DC4}" keepAlive="1" name="連線241" type="5" refreshedVersion="0" background="1">
    <dbPr connection="Provider=Microsoft.Mashup.OleDb.1;Data Source=$Workbook$;Location=&quot;Table_2882_113_01&quot;;Extended Properties=&quot;&quot;" commandType="0"/>
  </connection>
  <connection id="1571" xr16:uid="{F46B9512-5382-459E-AFD6-AA04C8D328E3}" keepAlive="1" name="連線2410" type="5" refreshedVersion="0" background="1">
    <dbPr connection="Provider=Microsoft.Mashup.OleDb.1;Data Source=$Workbook$;Location=&quot;Table_2882_113_01&quot;;Extended Properties=&quot;&quot;" commandType="0"/>
  </connection>
  <connection id="1572" xr16:uid="{F55449D1-4859-4AE9-912D-1B40684B53F9}" keepAlive="1" name="連線2411" type="5" refreshedVersion="0" background="1">
    <dbPr connection="Provider=Microsoft.Mashup.OleDb.1;Data Source=$Workbook$;Location=&quot;Table_00878_113_03&quot;;Extended Properties=&quot;&quot;" commandType="0"/>
  </connection>
  <connection id="1573" xr16:uid="{B04435DA-2C93-46E8-850C-F9ED2F855599}" keepAlive="1" name="連線2412" type="5" refreshedVersion="0" background="1">
    <dbPr connection="Provider=Microsoft.Mashup.OleDb.1;Data Source=$Workbook$;Location=&quot;Table_00878_113_02&quot;;Extended Properties=&quot;&quot;" commandType="0"/>
  </connection>
  <connection id="1574" xr16:uid="{FA075039-4D24-4E82-A8EE-4C9BD0738C65}" keepAlive="1" name="連線2413" type="5" refreshedVersion="0" background="1">
    <dbPr connection="Provider=Microsoft.Mashup.OleDb.1;Data Source=$Workbook$;Location=&quot;Table_00878_113_01&quot;;Extended Properties=&quot;&quot;" commandType="0"/>
  </connection>
  <connection id="1575" xr16:uid="{835BADC5-D272-455D-8DE6-3C91A74E8B33}" keepAlive="1" name="連線2414" type="5" refreshedVersion="0" background="1">
    <dbPr connection="Provider=Microsoft.Mashup.OleDb.1;Data Source=$Workbook$;Location=&quot;Table_2912_113_03&quot;;Extended Properties=&quot;&quot;" commandType="0"/>
  </connection>
  <connection id="1576" xr16:uid="{A759DD91-0883-47B8-B5D9-2C66A3C1ADB9}" keepAlive="1" name="連線2415" type="5" refreshedVersion="0" background="1">
    <dbPr connection="Provider=Microsoft.Mashup.OleDb.1;Data Source=$Workbook$;Location=&quot;Table_2912_113_02&quot;;Extended Properties=&quot;&quot;" commandType="0"/>
  </connection>
  <connection id="1577" xr16:uid="{E34C1CF8-C180-44BC-89B4-65328D4F932C}" keepAlive="1" name="連線2416" type="5" refreshedVersion="0" background="1">
    <dbPr connection="Provider=Microsoft.Mashup.OleDb.1;Data Source=$Workbook$;Location=&quot;Table_2912_113_01&quot;;Extended Properties=&quot;&quot;" commandType="0"/>
  </connection>
  <connection id="1578" xr16:uid="{227F5FFC-E01A-4155-AFAD-E1E4BA95487E}" keepAlive="1" name="連線2417" type="5" refreshedVersion="0" background="1">
    <dbPr connection="Provider=Microsoft.Mashup.OleDb.1;Data Source=$Workbook$;Location=&quot;Table_0056_113_03&quot;;Extended Properties=&quot;&quot;" commandType="0"/>
  </connection>
  <connection id="1579" xr16:uid="{B725B51F-1375-49AA-8142-A33FEBBAB3E1}" keepAlive="1" name="連線2418" type="5" refreshedVersion="0" background="1">
    <dbPr connection="Provider=Microsoft.Mashup.OleDb.1;Data Source=$Workbook$;Location=&quot;Table_0056_113_02&quot;;Extended Properties=&quot;&quot;" commandType="0"/>
  </connection>
  <connection id="1580" xr16:uid="{8E67D807-DC37-4259-B9D2-CD1C36B3E06C}" keepAlive="1" name="連線2419" type="5" refreshedVersion="0" background="1">
    <dbPr connection="Provider=Microsoft.Mashup.OleDb.1;Data Source=$Workbook$;Location=&quot;Table_0056_113_01&quot;;Extended Properties=&quot;&quot;" commandType="0"/>
  </connection>
  <connection id="1581" xr16:uid="{2064C0A4-F0E4-4B36-956B-7CC8260C249C}" keepAlive="1" name="連線242" type="5" refreshedVersion="0" background="1">
    <dbPr connection="Provider=Microsoft.Mashup.OleDb.1;Data Source=$Workbook$;Location=&quot;Table_2882_113_02&quot;;Extended Properties=&quot;&quot;" commandType="0"/>
  </connection>
  <connection id="1582" xr16:uid="{F7A6E22D-3AD7-4B67-8B34-2F4EDAC0B4E3}" keepAlive="1" name="連線2420" type="5" refreshedVersion="0" background="1">
    <dbPr connection="Provider=Microsoft.Mashup.OleDb.1;Data Source=$Workbook$;Location=&quot;Table_月份Ⅰ_月份Ⅰ_月份Ⅰ&quot;;Extended Properties=&quot;&quot;" commandType="0"/>
  </connection>
  <connection id="1583" xr16:uid="{618FCCFE-261A-4193-A5D1-436F5341ACA3}" keepAlive="1" name="連線2421" type="5" refreshedVersion="0" background="1">
    <dbPr connection="Provider=Microsoft.Mashup.OleDb.1;Data Source=$Workbook$;Location=&quot;Table_2330_113_03&quot;;Extended Properties=&quot;&quot;" commandType="0"/>
  </connection>
  <connection id="1584" xr16:uid="{D1955507-0916-4294-8447-7C9AD395A822}" keepAlive="1" name="連線2422" type="5" refreshedVersion="0" background="1">
    <dbPr connection="Provider=Microsoft.Mashup.OleDb.1;Data Source=$Workbook$;Location=&quot;Table_2330_113_02&quot;;Extended Properties=&quot;&quot;" commandType="0"/>
  </connection>
  <connection id="1585" xr16:uid="{621F4074-D854-444E-B123-B4D47FB30C63}" keepAlive="1" name="連線2423" type="5" refreshedVersion="0" background="1">
    <dbPr connection="Provider=Microsoft.Mashup.OleDb.1;Data Source=$Workbook$;Location=&quot;Table_2330_113_01&quot;;Extended Properties=&quot;&quot;" commandType="0"/>
  </connection>
  <connection id="1586" xr16:uid="{5E3A07B1-A9D6-4ADA-8BCC-09B79583465F}" keepAlive="1" name="連線2424" type="5" refreshedVersion="0" background="1">
    <dbPr connection="Provider=Microsoft.Mashup.OleDb.1;Data Source=$Workbook$;Location=&quot;Table_2882_113_03&quot;;Extended Properties=&quot;&quot;" commandType="0"/>
  </connection>
  <connection id="1587" xr16:uid="{BECDF32D-89D0-4454-8CD4-19CADEAFB1B0}" keepAlive="1" name="連線2425" type="5" refreshedVersion="0" background="1">
    <dbPr connection="Provider=Microsoft.Mashup.OleDb.1;Data Source=$Workbook$;Location=&quot;Table_2882_113_02&quot;;Extended Properties=&quot;&quot;" commandType="0"/>
  </connection>
  <connection id="1588" xr16:uid="{F57EADDC-0B4D-4961-8E59-98C640E09C98}" keepAlive="1" name="連線2426" type="5" refreshedVersion="0" background="1">
    <dbPr connection="Provider=Microsoft.Mashup.OleDb.1;Data Source=$Workbook$;Location=&quot;Table_2882_113_01&quot;;Extended Properties=&quot;&quot;" commandType="0"/>
  </connection>
  <connection id="1589" xr16:uid="{660B7498-8CE8-423D-AAC9-EE388AF95C0A}" keepAlive="1" name="連線2427" type="5" refreshedVersion="0" background="1">
    <dbPr connection="Provider=Microsoft.Mashup.OleDb.1;Data Source=$Workbook$;Location=&quot;Table_00878_113_03&quot;;Extended Properties=&quot;&quot;" commandType="0"/>
  </connection>
  <connection id="1590" xr16:uid="{D1EABE97-FD5B-43B0-A981-83E92FD39C4D}" keepAlive="1" name="連線2428" type="5" refreshedVersion="0" background="1">
    <dbPr connection="Provider=Microsoft.Mashup.OleDb.1;Data Source=$Workbook$;Location=&quot;Table_00878_113_02&quot;;Extended Properties=&quot;&quot;" commandType="0"/>
  </connection>
  <connection id="1591" xr16:uid="{5CA9B019-520C-4E04-A3F6-0613498B8BF4}" keepAlive="1" name="連線2429" type="5" refreshedVersion="0" background="1">
    <dbPr connection="Provider=Microsoft.Mashup.OleDb.1;Data Source=$Workbook$;Location=&quot;Table_00878_113_01&quot;;Extended Properties=&quot;&quot;" commandType="0"/>
  </connection>
  <connection id="1592" xr16:uid="{8FD52E2B-EB80-4FFC-B274-2F4B6738D169}" keepAlive="1" name="連線243" type="5" refreshedVersion="0" background="1">
    <dbPr connection="Provider=Microsoft.Mashup.OleDb.1;Data Source=$Workbook$;Location=&quot;Table_2882_113_03&quot;;Extended Properties=&quot;&quot;" commandType="0"/>
  </connection>
  <connection id="1593" xr16:uid="{90056547-5E4F-41A5-8008-9E08AF9FBF47}" keepAlive="1" name="連線2430" type="5" refreshedVersion="0" background="1">
    <dbPr connection="Provider=Microsoft.Mashup.OleDb.1;Data Source=$Workbook$;Location=&quot;Table_2912_113_03&quot;;Extended Properties=&quot;&quot;" commandType="0"/>
  </connection>
  <connection id="1594" xr16:uid="{6DB41437-B9F9-4844-A289-1DFF54431C46}" keepAlive="1" name="連線2431" type="5" refreshedVersion="0" background="1">
    <dbPr connection="Provider=Microsoft.Mashup.OleDb.1;Data Source=$Workbook$;Location=&quot;Table_2912_113_02&quot;;Extended Properties=&quot;&quot;" commandType="0"/>
  </connection>
  <connection id="1595" xr16:uid="{1C3690B7-9E06-4EE2-B629-1B93D8000E88}" keepAlive="1" name="連線2432" type="5" refreshedVersion="0" background="1">
    <dbPr connection="Provider=Microsoft.Mashup.OleDb.1;Data Source=$Workbook$;Location=&quot;Table_2912_113_01&quot;;Extended Properties=&quot;&quot;" commandType="0"/>
  </connection>
  <connection id="1596" xr16:uid="{5EBE528C-8A70-42C8-9F9D-E91D55FF8711}" keepAlive="1" name="連線2433" type="5" refreshedVersion="0" background="1">
    <dbPr connection="Provider=Microsoft.Mashup.OleDb.1;Data Source=$Workbook$;Location=&quot;Table_0056_113_03&quot;;Extended Properties=&quot;&quot;" commandType="0"/>
  </connection>
  <connection id="1597" xr16:uid="{BA57A701-345D-443A-961B-56854737C039}" keepAlive="1" name="連線2434" type="5" refreshedVersion="0" background="1">
    <dbPr connection="Provider=Microsoft.Mashup.OleDb.1;Data Source=$Workbook$;Location=&quot;Table_0056_113_02&quot;;Extended Properties=&quot;&quot;" commandType="0"/>
  </connection>
  <connection id="1598" xr16:uid="{E2AC99DE-1A62-47EE-8CE5-01D6C185E302}" keepAlive="1" name="連線2435" type="5" refreshedVersion="0" background="1">
    <dbPr connection="Provider=Microsoft.Mashup.OleDb.1;Data Source=$Workbook$;Location=&quot;Table_0056_113_01&quot;;Extended Properties=&quot;&quot;" commandType="0"/>
  </connection>
  <connection id="1599" xr16:uid="{6B918F57-A3A1-4C3E-91FC-8D839E3B2A50}" keepAlive="1" name="連線2436" type="5" refreshedVersion="0" background="1">
    <dbPr connection="Provider=Microsoft.Mashup.OleDb.1;Data Source=$Workbook$;Location=&quot;Table_2330_113_03&quot;;Extended Properties=&quot;&quot;" commandType="0"/>
  </connection>
  <connection id="1600" xr16:uid="{F2997331-4D0D-46FC-A3B6-57C977B84779}" keepAlive="1" name="連線2437" type="5" refreshedVersion="0" background="1">
    <dbPr connection="Provider=Microsoft.Mashup.OleDb.1;Data Source=$Workbook$;Location=&quot;Table_2330_113_02&quot;;Extended Properties=&quot;&quot;" commandType="0"/>
  </connection>
  <connection id="1601" xr16:uid="{AF91547D-8FE7-4DC4-AD4A-844C5976C00B}" keepAlive="1" name="連線2438" type="5" refreshedVersion="0" background="1">
    <dbPr connection="Provider=Microsoft.Mashup.OleDb.1;Data Source=$Workbook$;Location=&quot;Table_2330_113_01&quot;;Extended Properties=&quot;&quot;" commandType="0"/>
  </connection>
  <connection id="1602" xr16:uid="{620AEA52-10BC-4527-8FE9-0D9C8121485E}" keepAlive="1" name="連線2439" type="5" refreshedVersion="0" background="1">
    <dbPr connection="Provider=Microsoft.Mashup.OleDb.1;Data Source=$Workbook$;Location=&quot;Table_2882_113_03&quot;;Extended Properties=&quot;&quot;" commandType="0"/>
  </connection>
  <connection id="1603" xr16:uid="{00164515-5D86-4BEB-BA27-75959846C30F}" keepAlive="1" name="連線244" type="5" refreshedVersion="0" background="1">
    <dbPr connection="Provider=Microsoft.Mashup.OleDb.1;Data Source=$Workbook$;Location=&quot;Table_2330_113_03&quot;;Extended Properties=&quot;&quot;" commandType="0"/>
  </connection>
  <connection id="1604" xr16:uid="{49EBEE50-7A6F-43C2-B3C6-363928BB31D4}" keepAlive="1" name="連線2440" type="5" refreshedVersion="0" background="1">
    <dbPr connection="Provider=Microsoft.Mashup.OleDb.1;Data Source=$Workbook$;Location=&quot;Table_2882_113_02&quot;;Extended Properties=&quot;&quot;" commandType="0"/>
  </connection>
  <connection id="1605" xr16:uid="{C4E16D99-5C97-4ECC-B021-90E1CE551D93}" keepAlive="1" name="連線2441" type="5" refreshedVersion="0" background="1">
    <dbPr connection="Provider=Microsoft.Mashup.OleDb.1;Data Source=$Workbook$;Location=&quot;Table_2882_113_01&quot;;Extended Properties=&quot;&quot;" commandType="0"/>
  </connection>
  <connection id="1606" xr16:uid="{24BE64B4-AEF9-4144-81AE-4E630CD56EF1}" keepAlive="1" name="連線2442" type="5" refreshedVersion="0" background="1">
    <dbPr connection="Provider=Microsoft.Mashup.OleDb.1;Data Source=$Workbook$;Location=&quot;Table_00878_113_03&quot;;Extended Properties=&quot;&quot;" commandType="0"/>
  </connection>
  <connection id="1607" xr16:uid="{237DE9D8-A47A-47E4-BD6D-8CA0EDD81646}" keepAlive="1" name="連線2443" type="5" refreshedVersion="0" background="1">
    <dbPr connection="Provider=Microsoft.Mashup.OleDb.1;Data Source=$Workbook$;Location=&quot;Table_00878_113_02&quot;;Extended Properties=&quot;&quot;" commandType="0"/>
  </connection>
  <connection id="1608" xr16:uid="{2BEBF7EE-1E09-468B-B842-D163E77F3874}" keepAlive="1" name="連線2444" type="5" refreshedVersion="0" background="1">
    <dbPr connection="Provider=Microsoft.Mashup.OleDb.1;Data Source=$Workbook$;Location=&quot;Table_00878_113_01&quot;;Extended Properties=&quot;&quot;" commandType="0"/>
  </connection>
  <connection id="1609" xr16:uid="{41D74596-BA56-4FE5-B076-152DB22EC951}" keepAlive="1" name="連線2445" type="5" refreshedVersion="0" background="1">
    <dbPr connection="Provider=Microsoft.Mashup.OleDb.1;Data Source=$Workbook$;Location=&quot;Table_2912_113_03&quot;;Extended Properties=&quot;&quot;" commandType="0"/>
  </connection>
  <connection id="1610" xr16:uid="{5536B22A-C9F2-4849-81A8-2F51B853C71A}" keepAlive="1" name="連線2446" type="5" refreshedVersion="0" background="1">
    <dbPr connection="Provider=Microsoft.Mashup.OleDb.1;Data Source=$Workbook$;Location=&quot;Table_2912_113_02&quot;;Extended Properties=&quot;&quot;" commandType="0"/>
  </connection>
  <connection id="1611" xr16:uid="{929DA882-3C21-4B41-9B02-E22DADCB10F7}" keepAlive="1" name="連線2447" type="5" refreshedVersion="0" background="1">
    <dbPr connection="Provider=Microsoft.Mashup.OleDb.1;Data Source=$Workbook$;Location=&quot;Table_2912_113_01&quot;;Extended Properties=&quot;&quot;" commandType="0"/>
  </connection>
  <connection id="1612" xr16:uid="{D6D04D6B-AB78-4185-AF3F-C4514463C0B9}" keepAlive="1" name="連線2448" type="5" refreshedVersion="0" background="1">
    <dbPr connection="Provider=Microsoft.Mashup.OleDb.1;Data Source=$Workbook$;Location=&quot;Table_0056_113_03&quot;;Extended Properties=&quot;&quot;" commandType="0"/>
  </connection>
  <connection id="1613" xr16:uid="{4BA7F487-2975-4E4D-9A28-637FE002F52B}" keepAlive="1" name="連線2449" type="5" refreshedVersion="0" background="1">
    <dbPr connection="Provider=Microsoft.Mashup.OleDb.1;Data Source=$Workbook$;Location=&quot;Table_0056_113_02&quot;;Extended Properties=&quot;&quot;" commandType="0"/>
  </connection>
  <connection id="1614" xr16:uid="{BD23DB31-6069-48E5-8D92-A7091D7CAEAF}" keepAlive="1" name="連線245" type="5" refreshedVersion="0" background="1">
    <dbPr connection="Provider=Microsoft.Mashup.OleDb.1;Data Source=$Workbook$;Location=&quot;Table_2330_113_02&quot;;Extended Properties=&quot;&quot;" commandType="0"/>
  </connection>
  <connection id="1615" xr16:uid="{2CD909B1-7283-487F-ACE5-F1D7A4003F5C}" keepAlive="1" name="連線2450" type="5" refreshedVersion="0" background="1">
    <dbPr connection="Provider=Microsoft.Mashup.OleDb.1;Data Source=$Workbook$;Location=&quot;Table_0056_113_01&quot;;Extended Properties=&quot;&quot;" commandType="0"/>
  </connection>
  <connection id="1616" xr16:uid="{17122944-B5B0-4149-BAA0-5CD92D6F1D36}" keepAlive="1" name="連線2451" type="5" refreshedVersion="0" background="1">
    <dbPr connection="Provider=Microsoft.Mashup.OleDb.1;Data Source=$Workbook$;Location=&quot;Table_2330_113_03&quot;;Extended Properties=&quot;&quot;" commandType="0"/>
  </connection>
  <connection id="1617" xr16:uid="{DBAD9722-296D-4B9E-B7B3-AC0D541548E0}" keepAlive="1" name="連線2452" type="5" refreshedVersion="0" background="1">
    <dbPr connection="Provider=Microsoft.Mashup.OleDb.1;Data Source=$Workbook$;Location=&quot;Table_2330_113_02&quot;;Extended Properties=&quot;&quot;" commandType="0"/>
  </connection>
  <connection id="1618" xr16:uid="{0F721C2D-152B-40DB-9053-E5B1D0007A08}" keepAlive="1" name="連線2453" type="5" refreshedVersion="0" background="1">
    <dbPr connection="Provider=Microsoft.Mashup.OleDb.1;Data Source=$Workbook$;Location=&quot;Table_2330_113_01&quot;;Extended Properties=&quot;&quot;" commandType="0"/>
  </connection>
  <connection id="1619" xr16:uid="{404BECF4-B6C6-488F-AFE5-C3175B52BCDD}" keepAlive="1" name="連線2454" type="5" refreshedVersion="0" background="1">
    <dbPr connection="Provider=Microsoft.Mashup.OleDb.1;Data Source=$Workbook$;Location=&quot;Table_2882_113_03&quot;;Extended Properties=&quot;&quot;" commandType="0"/>
  </connection>
  <connection id="1620" xr16:uid="{EAF1DC2F-7C29-4CAF-A746-67869CDC6666}" keepAlive="1" name="連線2455" type="5" refreshedVersion="0" background="1">
    <dbPr connection="Provider=Microsoft.Mashup.OleDb.1;Data Source=$Workbook$;Location=&quot;Table_2882_113_02&quot;;Extended Properties=&quot;&quot;" commandType="0"/>
  </connection>
  <connection id="1621" xr16:uid="{19DDC6E6-C67E-439F-8521-8C9F468C0F6C}" keepAlive="1" name="連線2456" type="5" refreshedVersion="0" background="1">
    <dbPr connection="Provider=Microsoft.Mashup.OleDb.1;Data Source=$Workbook$;Location=&quot;Table_2882_113_01&quot;;Extended Properties=&quot;&quot;" commandType="0"/>
  </connection>
  <connection id="1622" xr16:uid="{631E2A1A-DC08-45A2-8686-044FE99D8C29}" keepAlive="1" name="連線2457" type="5" refreshedVersion="0" background="1">
    <dbPr connection="Provider=Microsoft.Mashup.OleDb.1;Data Source=$Workbook$;Location=&quot;Table_00878_113_03&quot;;Extended Properties=&quot;&quot;" commandType="0"/>
  </connection>
  <connection id="1623" xr16:uid="{BBBBABF1-61FB-47BB-835F-2685E449FD6C}" keepAlive="1" name="連線2458" type="5" refreshedVersion="0" background="1">
    <dbPr connection="Provider=Microsoft.Mashup.OleDb.1;Data Source=$Workbook$;Location=&quot;Table_00878_113_02&quot;;Extended Properties=&quot;&quot;" commandType="0"/>
  </connection>
  <connection id="1624" xr16:uid="{1966C107-041D-404A-98AD-2838D6E415AF}" keepAlive="1" name="連線2459" type="5" refreshedVersion="0" background="1">
    <dbPr connection="Provider=Microsoft.Mashup.OleDb.1;Data Source=$Workbook$;Location=&quot;Table_00878_113_01&quot;;Extended Properties=&quot;&quot;" commandType="0"/>
  </connection>
  <connection id="1625" xr16:uid="{22A20756-5234-475A-B6F0-FA78D09A5755}" keepAlive="1" name="連線246" type="5" refreshedVersion="0" background="1">
    <dbPr connection="Provider=Microsoft.Mashup.OleDb.1;Data Source=$Workbook$;Location=&quot;Table_2330_113_01&quot;;Extended Properties=&quot;&quot;" commandType="0"/>
  </connection>
  <connection id="1626" xr16:uid="{788584A2-0393-46EA-9273-DEE224299C45}" keepAlive="1" name="連線2460" type="5" refreshedVersion="0" background="1">
    <dbPr connection="Provider=Microsoft.Mashup.OleDb.1;Data Source=$Workbook$;Location=&quot;Table_2912_113_03&quot;;Extended Properties=&quot;&quot;" commandType="0"/>
  </connection>
  <connection id="1627" xr16:uid="{B0B3C0B7-BF9F-4576-B4A4-FF1617D17A7C}" keepAlive="1" name="連線2461" type="5" refreshedVersion="0" background="1">
    <dbPr connection="Provider=Microsoft.Mashup.OleDb.1;Data Source=$Workbook$;Location=&quot;Table_2912_113_02&quot;;Extended Properties=&quot;&quot;" commandType="0"/>
  </connection>
  <connection id="1628" xr16:uid="{AFDB8241-D9CD-4221-85B7-1264503031BC}" keepAlive="1" name="連線2462" type="5" refreshedVersion="0" background="1">
    <dbPr connection="Provider=Microsoft.Mashup.OleDb.1;Data Source=$Workbook$;Location=&quot;Table_2912_113_01&quot;;Extended Properties=&quot;&quot;" commandType="0"/>
  </connection>
  <connection id="1629" xr16:uid="{9D6F7076-821F-4D9D-B885-C4DF2AFE406B}" keepAlive="1" name="連線2463" type="5" refreshedVersion="0" background="1">
    <dbPr connection="Provider=Microsoft.Mashup.OleDb.1;Data Source=$Workbook$;Location=&quot;Table_0056_113_03&quot;;Extended Properties=&quot;&quot;" commandType="0"/>
  </connection>
  <connection id="1630" xr16:uid="{60405FFA-5BBB-4B66-9FE8-1B746FD5046D}" keepAlive="1" name="連線2464" type="5" refreshedVersion="0" background="1">
    <dbPr connection="Provider=Microsoft.Mashup.OleDb.1;Data Source=$Workbook$;Location=&quot;Table_0056_113_02&quot;;Extended Properties=&quot;&quot;" commandType="0"/>
  </connection>
  <connection id="1631" xr16:uid="{CAA90B13-3156-4958-95C9-9F7BC89E874E}" keepAlive="1" name="連線2465" type="5" refreshedVersion="0" background="1">
    <dbPr connection="Provider=Microsoft.Mashup.OleDb.1;Data Source=$Workbook$;Location=&quot;Table_0056_113_01&quot;;Extended Properties=&quot;&quot;" commandType="0"/>
  </connection>
  <connection id="1632" xr16:uid="{1415D2FC-94B8-42A0-8409-7B82596C1472}" keepAlive="1" name="連線2466" type="5" refreshedVersion="0" background="1">
    <dbPr connection="Provider=Microsoft.Mashup.OleDb.1;Data Source=$Workbook$;Location=&quot;Table_2330_113_03&quot;;Extended Properties=&quot;&quot;" commandType="0"/>
  </connection>
  <connection id="1633" xr16:uid="{C9A4ABFA-44F4-464D-9AB1-BB896129F166}" keepAlive="1" name="連線2467" type="5" refreshedVersion="0" background="1">
    <dbPr connection="Provider=Microsoft.Mashup.OleDb.1;Data Source=$Workbook$;Location=&quot;Table_2330_113_02&quot;;Extended Properties=&quot;&quot;" commandType="0"/>
  </connection>
  <connection id="1634" xr16:uid="{86AC8EE5-D6A0-4BD9-9355-E6E42E95F0A2}" keepAlive="1" name="連線2468" type="5" refreshedVersion="0" background="1">
    <dbPr connection="Provider=Microsoft.Mashup.OleDb.1;Data Source=$Workbook$;Location=&quot;Table_2330_113_01&quot;;Extended Properties=&quot;&quot;" commandType="0"/>
  </connection>
  <connection id="1635" xr16:uid="{96B964F8-6F07-49B7-B3FA-FD5351225209}" keepAlive="1" name="連線2469" type="5" refreshedVersion="0" background="1">
    <dbPr connection="Provider=Microsoft.Mashup.OleDb.1;Data Source=$Workbook$;Location=&quot;Table_2882_113_03&quot;;Extended Properties=&quot;&quot;" commandType="0"/>
  </connection>
  <connection id="1636" xr16:uid="{266E6F99-D6FA-4F9C-9CDC-C4CE028571C0}" keepAlive="1" name="連線247" type="5" refreshedVersion="0" background="1">
    <dbPr connection="Provider=Microsoft.Mashup.OleDb.1;Data Source=$Workbook$;Location=&quot;Table_1101_113_03&quot;;Extended Properties=&quot;&quot;" commandType="0"/>
  </connection>
  <connection id="1637" xr16:uid="{6D42B297-20AD-4426-9EED-CDBCFB14EC82}" keepAlive="1" name="連線2470" type="5" refreshedVersion="0" background="1">
    <dbPr connection="Provider=Microsoft.Mashup.OleDb.1;Data Source=$Workbook$;Location=&quot;Table_2882_113_02&quot;;Extended Properties=&quot;&quot;" commandType="0"/>
  </connection>
  <connection id="1638" xr16:uid="{8229AC46-681B-4D1A-B84E-4DF039A91AC9}" keepAlive="1" name="連線2471" type="5" refreshedVersion="0" background="1">
    <dbPr connection="Provider=Microsoft.Mashup.OleDb.1;Data Source=$Workbook$;Location=&quot;Table_2882_113_01&quot;;Extended Properties=&quot;&quot;" commandType="0"/>
  </connection>
  <connection id="1639" xr16:uid="{5C39D219-42A9-49A9-8A7A-FFEC64990C6A}" keepAlive="1" name="連線2472" type="5" refreshedVersion="0" background="1">
    <dbPr connection="Provider=Microsoft.Mashup.OleDb.1;Data Source=$Workbook$;Location=&quot;Table_0056_113_03&quot;;Extended Properties=&quot;&quot;" commandType="0"/>
  </connection>
  <connection id="1640" xr16:uid="{95E32E7F-EEB6-4138-A1C4-90CEFE5EC393}" keepAlive="1" name="連線2473" type="5" refreshedVersion="0" background="1">
    <dbPr connection="Provider=Microsoft.Mashup.OleDb.1;Data Source=$Workbook$;Location=&quot;Table_0056_113_02&quot;;Extended Properties=&quot;&quot;" commandType="0"/>
  </connection>
  <connection id="1641" xr16:uid="{9A5CD6A0-3587-4801-ABAC-CA5D46B95A82}" keepAlive="1" name="連線2474" type="5" refreshedVersion="0" background="1">
    <dbPr connection="Provider=Microsoft.Mashup.OleDb.1;Data Source=$Workbook$;Location=&quot;Table_0056_113_01&quot;;Extended Properties=&quot;&quot;" commandType="0"/>
  </connection>
  <connection id="1642" xr16:uid="{55983ED6-E860-4A36-B10B-40E2DD6D0A42}" keepAlive="1" name="連線2475" type="5" refreshedVersion="0" background="1">
    <dbPr connection="Provider=Microsoft.Mashup.OleDb.1;Data Source=$Workbook$;Location=&quot;Table_00878_113_03&quot;;Extended Properties=&quot;&quot;" commandType="0"/>
  </connection>
  <connection id="1643" xr16:uid="{6AE0D91F-13CF-4FC9-93B0-88C08C4DE7C4}" keepAlive="1" name="連線2476" type="5" refreshedVersion="0" background="1">
    <dbPr connection="Provider=Microsoft.Mashup.OleDb.1;Data Source=$Workbook$;Location=&quot;Table_00878_113_02&quot;;Extended Properties=&quot;&quot;" commandType="0"/>
  </connection>
  <connection id="1644" xr16:uid="{7FD1DDA5-84CB-4696-AC1D-F9CEB2C08B37}" keepAlive="1" name="連線2477" type="5" refreshedVersion="0" background="1">
    <dbPr connection="Provider=Microsoft.Mashup.OleDb.1;Data Source=$Workbook$;Location=&quot;Table_00878_113_01&quot;;Extended Properties=&quot;&quot;" commandType="0"/>
  </connection>
  <connection id="1645" xr16:uid="{7A7BB9C3-5929-4C5B-A7DB-428B4ACA7AF3}" keepAlive="1" name="連線2478" type="5" refreshedVersion="0" background="1">
    <dbPr connection="Provider=Microsoft.Mashup.OleDb.1;Data Source=$Workbook$;Location=&quot;Table_2912_113_03&quot;;Extended Properties=&quot;&quot;" commandType="0"/>
  </connection>
  <connection id="1646" xr16:uid="{FF45F5AC-01AD-41BE-AB56-40EF6F04B842}" keepAlive="1" name="連線2479" type="5" refreshedVersion="0" background="1">
    <dbPr connection="Provider=Microsoft.Mashup.OleDb.1;Data Source=$Workbook$;Location=&quot;Table_2912_113_02&quot;;Extended Properties=&quot;&quot;" commandType="0"/>
  </connection>
  <connection id="1647" xr16:uid="{BEEC6270-2970-4F1E-9680-7E35746CD535}" keepAlive="1" name="連線248" type="5" refreshedVersion="0" background="1">
    <dbPr connection="Provider=Microsoft.Mashup.OleDb.1;Data Source=$Workbook$;Location=&quot;Table_1101_113_02&quot;;Extended Properties=&quot;&quot;" commandType="0"/>
  </connection>
  <connection id="1648" xr16:uid="{11B95567-04D0-4045-A5DE-C5C8ABD412E0}" keepAlive="1" name="連線2480" type="5" refreshedVersion="0" background="1">
    <dbPr connection="Provider=Microsoft.Mashup.OleDb.1;Data Source=$Workbook$;Location=&quot;Table_2912_113_01&quot;;Extended Properties=&quot;&quot;" commandType="0"/>
  </connection>
  <connection id="1649" xr16:uid="{E56A99B7-DA37-4B4E-BB6A-D9B7104BC209}" keepAlive="1" name="連線2481" type="5" refreshedVersion="0" background="1">
    <dbPr connection="Provider=Microsoft.Mashup.OleDb.1;Data Source=$Workbook$;Location=&quot;Table_2882_113_03&quot;;Extended Properties=&quot;&quot;" commandType="0"/>
  </connection>
  <connection id="1650" xr16:uid="{F69053CB-AB32-42EC-AEB8-212A18D78D74}" keepAlive="1" name="連線2482" type="5" refreshedVersion="0" background="1">
    <dbPr connection="Provider=Microsoft.Mashup.OleDb.1;Data Source=$Workbook$;Location=&quot;Table_2882_113_02&quot;;Extended Properties=&quot;&quot;" commandType="0"/>
  </connection>
  <connection id="1651" xr16:uid="{A212F422-278A-4DC1-9AF9-845D1837907C}" keepAlive="1" name="連線2483" type="5" refreshedVersion="0" background="1">
    <dbPr connection="Provider=Microsoft.Mashup.OleDb.1;Data Source=$Workbook$;Location=&quot;Table_2882_113_01&quot;;Extended Properties=&quot;&quot;" commandType="0"/>
  </connection>
  <connection id="1652" xr16:uid="{B002DFAD-0771-4163-A837-FFC78E03BBD4}" keepAlive="1" name="連線2484" type="5" refreshedVersion="0" background="1">
    <dbPr connection="Provider=Microsoft.Mashup.OleDb.1;Data Source=$Workbook$;Location=&quot;Table_2330_113_03&quot;;Extended Properties=&quot;&quot;" commandType="0"/>
  </connection>
  <connection id="1653" xr16:uid="{031EFE92-EDA2-4D7F-A137-77A8054F1B9D}" keepAlive="1" name="連線2485" type="5" refreshedVersion="0" background="1">
    <dbPr connection="Provider=Microsoft.Mashup.OleDb.1;Data Source=$Workbook$;Location=&quot;Table_2330_113_02&quot;;Extended Properties=&quot;&quot;" commandType="0"/>
  </connection>
  <connection id="1654" xr16:uid="{4BCE5FE2-F6A2-4CBC-A819-B347B0886D91}" keepAlive="1" name="連線2486" type="5" refreshedVersion="0" background="1">
    <dbPr connection="Provider=Microsoft.Mashup.OleDb.1;Data Source=$Workbook$;Location=&quot;Table_2330_113_01&quot;;Extended Properties=&quot;&quot;" commandType="0"/>
  </connection>
  <connection id="1655" xr16:uid="{15053AA2-E58B-4C61-84B1-BB5C488C277D}" keepAlive="1" name="連線2487" type="5" refreshedVersion="0" background="1">
    <dbPr connection="Provider=Microsoft.Mashup.OleDb.1;Data Source=$Workbook$;Location=&quot;Table_00878_113_03&quot;;Extended Properties=&quot;&quot;" commandType="0"/>
  </connection>
  <connection id="1656" xr16:uid="{F1F67E8F-89E4-48F9-B207-DBE9A20D6D76}" keepAlive="1" name="連線2488" type="5" refreshedVersion="0" background="1">
    <dbPr connection="Provider=Microsoft.Mashup.OleDb.1;Data Source=$Workbook$;Location=&quot;Table_00878_113_02&quot;;Extended Properties=&quot;&quot;" commandType="0"/>
  </connection>
  <connection id="1657" xr16:uid="{D42D321D-299C-47AC-B7A4-5D074415115C}" keepAlive="1" name="連線2489" type="5" refreshedVersion="0" background="1">
    <dbPr connection="Provider=Microsoft.Mashup.OleDb.1;Data Source=$Workbook$;Location=&quot;Table_00878_113_01&quot;;Extended Properties=&quot;&quot;" commandType="0"/>
  </connection>
  <connection id="1658" xr16:uid="{09B171F2-E83C-4A74-97E8-63B7A924B0EE}" keepAlive="1" name="連線249" type="5" refreshedVersion="0" background="1">
    <dbPr connection="Provider=Microsoft.Mashup.OleDb.1;Data Source=$Workbook$;Location=&quot;Table_1101_113_01&quot;;Extended Properties=&quot;&quot;" commandType="0"/>
  </connection>
  <connection id="1659" xr16:uid="{BAC348FF-7C3E-4AC7-906F-6584E646CEB1}" keepAlive="1" name="連線2490" type="5" refreshedVersion="0" background="1">
    <dbPr connection="Provider=Microsoft.Mashup.OleDb.1;Data Source=$Workbook$;Location=&quot;Table_0056_113_03&quot;;Extended Properties=&quot;&quot;" commandType="0"/>
  </connection>
  <connection id="1660" xr16:uid="{28880008-8A7D-493E-86BC-BCFDD31AAB8F}" keepAlive="1" name="連線2491" type="5" refreshedVersion="0" background="1">
    <dbPr connection="Provider=Microsoft.Mashup.OleDb.1;Data Source=$Workbook$;Location=&quot;Table_0056_113_02&quot;;Extended Properties=&quot;&quot;" commandType="0"/>
  </connection>
  <connection id="1661" xr16:uid="{6D75BBE0-A015-4619-A3FB-0FC0F1D50AC1}" keepAlive="1" name="連線2492" type="5" refreshedVersion="0" background="1">
    <dbPr connection="Provider=Microsoft.Mashup.OleDb.1;Data Source=$Workbook$;Location=&quot;Table_0056_113_01&quot;;Extended Properties=&quot;&quot;" commandType="0"/>
  </connection>
  <connection id="1662" xr16:uid="{D048B476-1315-4544-B89E-FD99F9295A68}" keepAlive="1" name="連線2493" type="5" refreshedVersion="0" background="1">
    <dbPr connection="Provider=Microsoft.Mashup.OleDb.1;Data Source=$Workbook$;Location=&quot;Table_2912_113_03&quot;;Extended Properties=&quot;&quot;" commandType="0"/>
  </connection>
  <connection id="1663" xr16:uid="{4193F439-EB4E-4177-BDD7-0D2A1CF13378}" keepAlive="1" name="連線2494" type="5" refreshedVersion="0" background="1">
    <dbPr connection="Provider=Microsoft.Mashup.OleDb.1;Data Source=$Workbook$;Location=&quot;Table_2912_113_02&quot;;Extended Properties=&quot;&quot;" commandType="0"/>
  </connection>
  <connection id="1664" xr16:uid="{28EDD6CB-B04F-41EC-8712-C27647C2FADC}" keepAlive="1" name="連線2495" type="5" refreshedVersion="0" background="1">
    <dbPr connection="Provider=Microsoft.Mashup.OleDb.1;Data Source=$Workbook$;Location=&quot;Table_2912_113_01&quot;;Extended Properties=&quot;&quot;" commandType="0"/>
  </connection>
  <connection id="1665" xr16:uid="{DE9A3A16-64F2-4DEB-8D9D-144151933F39}" keepAlive="1" name="連線2496" type="5" refreshedVersion="0" background="1">
    <dbPr connection="Provider=Microsoft.Mashup.OleDb.1;Data Source=$Workbook$;Location=&quot;Table_2882_113_03&quot;;Extended Properties=&quot;&quot;" commandType="0"/>
  </connection>
  <connection id="1666" xr16:uid="{FB191BA2-59A4-4132-8A4F-75ED7E7C5012}" keepAlive="1" name="連線2497" type="5" refreshedVersion="0" background="1">
    <dbPr connection="Provider=Microsoft.Mashup.OleDb.1;Data Source=$Workbook$;Location=&quot;Table_2882_113_02&quot;;Extended Properties=&quot;&quot;" commandType="0"/>
  </connection>
  <connection id="1667" xr16:uid="{B62B6FAA-7CDE-44B1-97E8-98112A9A7723}" keepAlive="1" name="連線2498" type="5" refreshedVersion="0" background="1">
    <dbPr connection="Provider=Microsoft.Mashup.OleDb.1;Data Source=$Workbook$;Location=&quot;Table_2882_113_01&quot;;Extended Properties=&quot;&quot;" commandType="0"/>
  </connection>
  <connection id="1668" xr16:uid="{272063FA-3F49-43BF-8464-809D71445DDE}" keepAlive="1" name="連線2499" type="5" refreshedVersion="0" background="1">
    <dbPr connection="Provider=Microsoft.Mashup.OleDb.1;Data Source=$Workbook$;Location=&quot;Table_2330_113_03&quot;;Extended Properties=&quot;&quot;" commandType="0"/>
  </connection>
  <connection id="1669" xr16:uid="{AE373188-88E5-4506-9E4D-E1BC58C3F21C}" keepAlive="1" name="連線25" type="5" refreshedVersion="0" background="1">
    <dbPr connection="Provider=Microsoft.Mashup.OleDb.1;Data Source=$Workbook$;Location=&quot;Table 3&quot;;Extended Properties=&quot;&quot;" commandType="0"/>
  </connection>
  <connection id="1670" xr16:uid="{7927A6C3-497A-4C2B-90B7-EB08BA20EF53}" keepAlive="1" name="連線250" type="5" refreshedVersion="0" background="1">
    <dbPr connection="Provider=Microsoft.Mashup.OleDb.1;Data Source=$Workbook$;Location=&quot;Table_2912_113_03&quot;;Extended Properties=&quot;&quot;" commandType="0"/>
  </connection>
  <connection id="1671" xr16:uid="{5B4C28B6-933C-4FC0-9FD5-2C8230481364}" keepAlive="1" name="連線2500" type="5" refreshedVersion="0" background="1">
    <dbPr connection="Provider=Microsoft.Mashup.OleDb.1;Data Source=$Workbook$;Location=&quot;Table_2330_113_02&quot;;Extended Properties=&quot;&quot;" commandType="0"/>
  </connection>
  <connection id="1672" xr16:uid="{501A9FD5-11B5-4979-8109-AF5CE532F0F9}" keepAlive="1" name="連線2501" type="5" refreshedVersion="0" background="1">
    <dbPr connection="Provider=Microsoft.Mashup.OleDb.1;Data Source=$Workbook$;Location=&quot;Table_2330_113_01&quot;;Extended Properties=&quot;&quot;" commandType="0"/>
  </connection>
  <connection id="1673" xr16:uid="{03A17E35-50F6-4DF6-B430-76EE3F59266D}" keepAlive="1" name="連線2502" type="5" refreshedVersion="0" background="1">
    <dbPr connection="Provider=Microsoft.Mashup.OleDb.1;Data Source=$Workbook$;Location=&quot;Table_00878_113_03&quot;;Extended Properties=&quot;&quot;" commandType="0"/>
  </connection>
  <connection id="1674" xr16:uid="{C71F4C59-89FC-4626-856F-73DFBD22F51E}" keepAlive="1" name="連線2503" type="5" refreshedVersion="0" background="1">
    <dbPr connection="Provider=Microsoft.Mashup.OleDb.1;Data Source=$Workbook$;Location=&quot;Table_00878_113_02&quot;;Extended Properties=&quot;&quot;" commandType="0"/>
  </connection>
  <connection id="1675" xr16:uid="{E767A9C0-467F-47D9-B089-DE8050455E4E}" keepAlive="1" name="連線2504" type="5" refreshedVersion="0" background="1">
    <dbPr connection="Provider=Microsoft.Mashup.OleDb.1;Data Source=$Workbook$;Location=&quot;Table_00878_113_01&quot;;Extended Properties=&quot;&quot;" commandType="0"/>
  </connection>
  <connection id="1676" xr16:uid="{0225AD7E-919A-4062-9E9B-7FE4CF717488}" keepAlive="1" name="連線2505" type="5" refreshedVersion="0" background="1">
    <dbPr connection="Provider=Microsoft.Mashup.OleDb.1;Data Source=$Workbook$;Location=&quot;Table_0056_113_03&quot;;Extended Properties=&quot;&quot;" commandType="0"/>
  </connection>
  <connection id="1677" xr16:uid="{73A73D7F-36D8-4E63-AF96-79D31B7FC4F2}" keepAlive="1" name="連線2506" type="5" refreshedVersion="0" background="1">
    <dbPr connection="Provider=Microsoft.Mashup.OleDb.1;Data Source=$Workbook$;Location=&quot;Table_0056_113_02&quot;;Extended Properties=&quot;&quot;" commandType="0"/>
  </connection>
  <connection id="1678" xr16:uid="{D21F64B2-DF02-4295-97B9-CDD39F372FB9}" keepAlive="1" name="連線2507" type="5" refreshedVersion="0" background="1">
    <dbPr connection="Provider=Microsoft.Mashup.OleDb.1;Data Source=$Workbook$;Location=&quot;Table_0056_113_01&quot;;Extended Properties=&quot;&quot;" commandType="0"/>
  </connection>
  <connection id="1679" xr16:uid="{04D02C22-921E-49FE-B855-5F9AE17B65C1}" keepAlive="1" name="連線2508" type="5" refreshedVersion="0" background="1">
    <dbPr connection="Provider=Microsoft.Mashup.OleDb.1;Data Source=$Workbook$;Location=&quot;Table_2912_113_03&quot;;Extended Properties=&quot;&quot;" commandType="0"/>
  </connection>
  <connection id="1680" xr16:uid="{B9F8937B-16EA-4EA7-A449-350F681BC41F}" keepAlive="1" name="連線2509" type="5" refreshedVersion="0" background="1">
    <dbPr connection="Provider=Microsoft.Mashup.OleDb.1;Data Source=$Workbook$;Location=&quot;Table_2912_113_02&quot;;Extended Properties=&quot;&quot;" commandType="0"/>
  </connection>
  <connection id="1681" xr16:uid="{ABF30B9C-C9CA-4768-A9E4-D2EA9369C4BD}" keepAlive="1" name="連線251" type="5" refreshedVersion="0" background="1">
    <dbPr connection="Provider=Microsoft.Mashup.OleDb.1;Data Source=$Workbook$;Location=&quot;Table_2912_113_02&quot;;Extended Properties=&quot;&quot;" commandType="0"/>
  </connection>
  <connection id="1682" xr16:uid="{6352FD05-013B-4A9F-847D-543D071BCBF0}" keepAlive="1" name="連線2510" type="5" refreshedVersion="0" background="1">
    <dbPr connection="Provider=Microsoft.Mashup.OleDb.1;Data Source=$Workbook$;Location=&quot;Table_2912_113_01&quot;;Extended Properties=&quot;&quot;" commandType="0"/>
  </connection>
  <connection id="1683" xr16:uid="{E4A8CA5B-CA06-44B5-88BC-F44715530EA7}" keepAlive="1" name="連線2511" type="5" refreshedVersion="0" background="1">
    <dbPr connection="Provider=Microsoft.Mashup.OleDb.1;Data Source=$Workbook$;Location=&quot;Table_2882_113_03&quot;;Extended Properties=&quot;&quot;" commandType="0"/>
  </connection>
  <connection id="1684" xr16:uid="{C31FD710-2A2F-48AB-BA6D-7DF4BF641F42}" keepAlive="1" name="連線2512" type="5" refreshedVersion="0" background="1">
    <dbPr connection="Provider=Microsoft.Mashup.OleDb.1;Data Source=$Workbook$;Location=&quot;Table_2882_113_02&quot;;Extended Properties=&quot;&quot;" commandType="0"/>
  </connection>
  <connection id="1685" xr16:uid="{73EB7820-7731-47B9-9DA6-491C626E1D2B}" keepAlive="1" name="連線2513" type="5" refreshedVersion="0" background="1">
    <dbPr connection="Provider=Microsoft.Mashup.OleDb.1;Data Source=$Workbook$;Location=&quot;Table_2882_113_01&quot;;Extended Properties=&quot;&quot;" commandType="0"/>
  </connection>
  <connection id="1686" xr16:uid="{B0D3DFB5-2AF8-47EE-A0D2-85EF099F9024}" keepAlive="1" name="連線2514" type="5" refreshedVersion="0" background="1">
    <dbPr connection="Provider=Microsoft.Mashup.OleDb.1;Data Source=$Workbook$;Location=&quot;Table_2330_113_03&quot;;Extended Properties=&quot;&quot;" commandType="0"/>
  </connection>
  <connection id="1687" xr16:uid="{ECB3D8B2-25E8-4552-8762-87FEF4BFA2D6}" keepAlive="1" name="連線2515" type="5" refreshedVersion="0" background="1">
    <dbPr connection="Provider=Microsoft.Mashup.OleDb.1;Data Source=$Workbook$;Location=&quot;Table_2330_113_02&quot;;Extended Properties=&quot;&quot;" commandType="0"/>
  </connection>
  <connection id="1688" xr16:uid="{0E9495FA-2D9D-4CCE-95CE-1082F54774B8}" keepAlive="1" name="連線2516" type="5" refreshedVersion="0" background="1">
    <dbPr connection="Provider=Microsoft.Mashup.OleDb.1;Data Source=$Workbook$;Location=&quot;Table_2330_113_01&quot;;Extended Properties=&quot;&quot;" commandType="0"/>
  </connection>
  <connection id="1689" xr16:uid="{28DF71EF-2CA8-44F7-8FCD-0D1452CD084C}" keepAlive="1" name="連線2517" type="5" refreshedVersion="0" background="1">
    <dbPr connection="Provider=Microsoft.Mashup.OleDb.1;Data Source=$Workbook$;Location=&quot;Table_00878_113_03&quot;;Extended Properties=&quot;&quot;" commandType="0"/>
  </connection>
  <connection id="1690" xr16:uid="{8F641299-27CB-4256-B099-3A4615A6FCCE}" keepAlive="1" name="連線2518" type="5" refreshedVersion="0" background="1">
    <dbPr connection="Provider=Microsoft.Mashup.OleDb.1;Data Source=$Workbook$;Location=&quot;Table_00878_113_02&quot;;Extended Properties=&quot;&quot;" commandType="0"/>
  </connection>
  <connection id="1691" xr16:uid="{E9749A07-4FE4-484A-AC82-35E10DCF0603}" keepAlive="1" name="連線2519" type="5" refreshedVersion="0" background="1">
    <dbPr connection="Provider=Microsoft.Mashup.OleDb.1;Data Source=$Workbook$;Location=&quot;Table_00878_113_01&quot;;Extended Properties=&quot;&quot;" commandType="0"/>
  </connection>
  <connection id="1692" xr16:uid="{02B05DC5-D005-4347-8B35-C7689C9F68AB}" keepAlive="1" name="連線252" type="5" refreshedVersion="0" background="1">
    <dbPr connection="Provider=Microsoft.Mashup.OleDb.1;Data Source=$Workbook$;Location=&quot;Table_2912_113_01&quot;;Extended Properties=&quot;&quot;" commandType="0"/>
  </connection>
  <connection id="1693" xr16:uid="{825BD5E2-95B6-4EE2-8306-195E14D9DAC8}" keepAlive="1" name="連線2520" type="5" refreshedVersion="0" background="1">
    <dbPr connection="Provider=Microsoft.Mashup.OleDb.1;Data Source=$Workbook$;Location=&quot;Table_0056_113_03&quot;;Extended Properties=&quot;&quot;" commandType="0"/>
  </connection>
  <connection id="1694" xr16:uid="{AB70A654-98BB-4C3D-8F8D-C18FAEE2C526}" keepAlive="1" name="連線2521" type="5" refreshedVersion="0" background="1">
    <dbPr connection="Provider=Microsoft.Mashup.OleDb.1;Data Source=$Workbook$;Location=&quot;Table_0056_113_02&quot;;Extended Properties=&quot;&quot;" commandType="0"/>
  </connection>
  <connection id="1695" xr16:uid="{0B68432A-A1AB-4D66-9BBA-208B319B6200}" keepAlive="1" name="連線2522" type="5" refreshedVersion="0" background="1">
    <dbPr connection="Provider=Microsoft.Mashup.OleDb.1;Data Source=$Workbook$;Location=&quot;Table_0056_113_01&quot;;Extended Properties=&quot;&quot;" commandType="0"/>
  </connection>
  <connection id="1696" xr16:uid="{5FA0B17F-26AB-4FF0-9DA4-7E7C9E6B6253}" keepAlive="1" name="連線2523" type="5" refreshedVersion="0" background="1">
    <dbPr connection="Provider=Microsoft.Mashup.OleDb.1;Data Source=$Workbook$;Location=&quot;Table_2912_113_03&quot;;Extended Properties=&quot;&quot;" commandType="0"/>
  </connection>
  <connection id="1697" xr16:uid="{455CF245-574B-463C-920E-3AAAC560234C}" keepAlive="1" name="連線2524" type="5" refreshedVersion="0" background="1">
    <dbPr connection="Provider=Microsoft.Mashup.OleDb.1;Data Source=$Workbook$;Location=&quot;Table_2912_113_02&quot;;Extended Properties=&quot;&quot;" commandType="0"/>
  </connection>
  <connection id="1698" xr16:uid="{3DAAFEC8-7670-43FE-912D-06F59A55AF2F}" keepAlive="1" name="連線2525" type="5" refreshedVersion="0" background="1">
    <dbPr connection="Provider=Microsoft.Mashup.OleDb.1;Data Source=$Workbook$;Location=&quot;Table_2912_113_01&quot;;Extended Properties=&quot;&quot;" commandType="0"/>
  </connection>
  <connection id="1699" xr16:uid="{09350FE5-5B8B-47D6-93D6-1C22A67D0F05}" keepAlive="1" name="連線2526" type="5" refreshedVersion="0" background="1">
    <dbPr connection="Provider=Microsoft.Mashup.OleDb.1;Data Source=$Workbook$;Location=&quot;Table_2882_113_03&quot;;Extended Properties=&quot;&quot;" commandType="0"/>
  </connection>
  <connection id="1700" xr16:uid="{C669FF89-AE2E-4934-ABC2-14A32A769CAC}" keepAlive="1" name="連線2527" type="5" refreshedVersion="0" background="1">
    <dbPr connection="Provider=Microsoft.Mashup.OleDb.1;Data Source=$Workbook$;Location=&quot;Table_2882_113_02&quot;;Extended Properties=&quot;&quot;" commandType="0"/>
  </connection>
  <connection id="1701" xr16:uid="{0180774A-FB54-4A4F-8C2A-EDA169D3E852}" keepAlive="1" name="連線2528" type="5" refreshedVersion="0" background="1">
    <dbPr connection="Provider=Microsoft.Mashup.OleDb.1;Data Source=$Workbook$;Location=&quot;Table_2882_113_01&quot;;Extended Properties=&quot;&quot;" commandType="0"/>
  </connection>
  <connection id="1702" xr16:uid="{C4CEB97E-0ACD-4440-9C96-128821E14464}" keepAlive="1" name="連線2529" type="5" refreshedVersion="0" background="1">
    <dbPr connection="Provider=Microsoft.Mashup.OleDb.1;Data Source=$Workbook$;Location=&quot;Table_2330_113_03&quot;;Extended Properties=&quot;&quot;" commandType="0"/>
  </connection>
  <connection id="1703" xr16:uid="{760CDDB4-9B1E-49E3-A0C6-B7D4C7F80EA1}" keepAlive="1" name="連線253" type="5" refreshedVersion="0" background="1">
    <dbPr connection="Provider=Microsoft.Mashup.OleDb.1;Data Source=$Workbook$;Location=&quot;Table_2002_113_03&quot;;Extended Properties=&quot;&quot;" commandType="0"/>
  </connection>
  <connection id="1704" xr16:uid="{02DB179F-26A8-44E7-A027-CE8C4DCD5ABE}" keepAlive="1" name="連線2530" type="5" refreshedVersion="0" background="1">
    <dbPr connection="Provider=Microsoft.Mashup.OleDb.1;Data Source=$Workbook$;Location=&quot;Table_2330_113_02&quot;;Extended Properties=&quot;&quot;" commandType="0"/>
  </connection>
  <connection id="1705" xr16:uid="{42972C17-9B83-4C77-81E0-36C0FDF5F97D}" keepAlive="1" name="連線2531" type="5" refreshedVersion="0" background="1">
    <dbPr connection="Provider=Microsoft.Mashup.OleDb.1;Data Source=$Workbook$;Location=&quot;Table_2330_113_01&quot;;Extended Properties=&quot;&quot;" commandType="0"/>
  </connection>
  <connection id="1706" xr16:uid="{865D5076-AADD-4EFB-80ED-33860CCAF8CB}" keepAlive="1" name="連線2532" type="5" refreshedVersion="0" background="1">
    <dbPr connection="Provider=Microsoft.Mashup.OleDb.1;Data Source=$Workbook$;Location=&quot;Table_00878_113_03&quot;;Extended Properties=&quot;&quot;" commandType="0"/>
  </connection>
  <connection id="1707" xr16:uid="{3326F096-4531-4724-9879-BD0542DEC301}" keepAlive="1" name="連線2533" type="5" refreshedVersion="0" background="1">
    <dbPr connection="Provider=Microsoft.Mashup.OleDb.1;Data Source=$Workbook$;Location=&quot;Table_00878_113_02&quot;;Extended Properties=&quot;&quot;" commandType="0"/>
  </connection>
  <connection id="1708" xr16:uid="{3E6455C7-ED7D-487A-8123-B195325985E0}" keepAlive="1" name="連線2534" type="5" refreshedVersion="0" background="1">
    <dbPr connection="Provider=Microsoft.Mashup.OleDb.1;Data Source=$Workbook$;Location=&quot;Table_00878_113_01&quot;;Extended Properties=&quot;&quot;" commandType="0"/>
  </connection>
  <connection id="1709" xr16:uid="{2ACA85D0-ABCE-4210-90CD-D63E17CC0986}" keepAlive="1" name="連線2535" type="5" refreshedVersion="0" background="1">
    <dbPr connection="Provider=Microsoft.Mashup.OleDb.1;Data Source=$Workbook$;Location=&quot;Table_0056_113_03&quot;;Extended Properties=&quot;&quot;" commandType="0"/>
  </connection>
  <connection id="1710" xr16:uid="{943A82A0-80C6-4282-9CE7-589FB3D383E4}" keepAlive="1" name="連線2536" type="5" refreshedVersion="0" background="1">
    <dbPr connection="Provider=Microsoft.Mashup.OleDb.1;Data Source=$Workbook$;Location=&quot;Table_0056_113_02&quot;;Extended Properties=&quot;&quot;" commandType="0"/>
  </connection>
  <connection id="1711" xr16:uid="{4B8BC9E0-1BB4-454B-B73B-AED0CF0BA039}" keepAlive="1" name="連線2537" type="5" refreshedVersion="0" background="1">
    <dbPr connection="Provider=Microsoft.Mashup.OleDb.1;Data Source=$Workbook$;Location=&quot;Table_0056_113_01&quot;;Extended Properties=&quot;&quot;" commandType="0"/>
  </connection>
  <connection id="1712" xr16:uid="{DA5FECF9-2337-451F-9EC1-4D3FEC56E0E8}" keepAlive="1" name="連線2538" type="5" refreshedVersion="0" background="1">
    <dbPr connection="Provider=Microsoft.Mashup.OleDb.1;Data Source=$Workbook$;Location=&quot;Table_2912_113_03&quot;;Extended Properties=&quot;&quot;" commandType="0"/>
  </connection>
  <connection id="1713" xr16:uid="{F82E1EF8-0100-4CB3-859C-B79EB99CF240}" keepAlive="1" name="連線2539" type="5" refreshedVersion="0" background="1">
    <dbPr connection="Provider=Microsoft.Mashup.OleDb.1;Data Source=$Workbook$;Location=&quot;Table_2912_113_02&quot;;Extended Properties=&quot;&quot;" commandType="0"/>
  </connection>
  <connection id="1714" xr16:uid="{F9589205-B288-464E-9178-D1042782DD91}" keepAlive="1" name="連線254" type="5" refreshedVersion="0" background="1">
    <dbPr connection="Provider=Microsoft.Mashup.OleDb.1;Data Source=$Workbook$;Location=&quot;Table_2002_113_02&quot;;Extended Properties=&quot;&quot;" commandType="0"/>
  </connection>
  <connection id="1715" xr16:uid="{B11BE85F-BE05-41DF-86C7-882EDD4B90F1}" keepAlive="1" name="連線2540" type="5" refreshedVersion="0" background="1">
    <dbPr connection="Provider=Microsoft.Mashup.OleDb.1;Data Source=$Workbook$;Location=&quot;Table_2912_113_01&quot;;Extended Properties=&quot;&quot;" commandType="0"/>
  </connection>
  <connection id="1716" xr16:uid="{DB2F9BA7-51DF-41FA-868B-F134C7BB9FB1}" keepAlive="1" name="連線2541" type="5" refreshedVersion="0" background="1">
    <dbPr connection="Provider=Microsoft.Mashup.OleDb.1;Data Source=$Workbook$;Location=&quot;Table_2882_113_03&quot;;Extended Properties=&quot;&quot;" commandType="0"/>
  </connection>
  <connection id="1717" xr16:uid="{4B19CDA6-8C38-4006-9918-7413D6633714}" keepAlive="1" name="連線2542" type="5" refreshedVersion="0" background="1">
    <dbPr connection="Provider=Microsoft.Mashup.OleDb.1;Data Source=$Workbook$;Location=&quot;Table_2882_113_02&quot;;Extended Properties=&quot;&quot;" commandType="0"/>
  </connection>
  <connection id="1718" xr16:uid="{D5320659-652A-4C44-8434-6D7C9DD638EB}" keepAlive="1" name="連線2543" type="5" refreshedVersion="0" background="1">
    <dbPr connection="Provider=Microsoft.Mashup.OleDb.1;Data Source=$Workbook$;Location=&quot;Table_2882_113_01&quot;;Extended Properties=&quot;&quot;" commandType="0"/>
  </connection>
  <connection id="1719" xr16:uid="{CB8D7227-94C7-4E72-BFE3-796406261661}" keepAlive="1" name="連線2544" type="5" refreshedVersion="0" background="1">
    <dbPr connection="Provider=Microsoft.Mashup.OleDb.1;Data Source=$Workbook$;Location=&quot;Table_2330_113_03&quot;;Extended Properties=&quot;&quot;" commandType="0"/>
  </connection>
  <connection id="1720" xr16:uid="{5C2FB8EF-A565-4D2C-B24E-AEF17BD5BCA0}" keepAlive="1" name="連線2545" type="5" refreshedVersion="0" background="1">
    <dbPr connection="Provider=Microsoft.Mashup.OleDb.1;Data Source=$Workbook$;Location=&quot;Table_2330_113_02&quot;;Extended Properties=&quot;&quot;" commandType="0"/>
  </connection>
  <connection id="1721" xr16:uid="{07F7FD85-2E95-4C1C-B6B0-C378554977D5}" keepAlive="1" name="連線2546" type="5" refreshedVersion="0" background="1">
    <dbPr connection="Provider=Microsoft.Mashup.OleDb.1;Data Source=$Workbook$;Location=&quot;Table_2330_113_01&quot;;Extended Properties=&quot;&quot;" commandType="0"/>
  </connection>
  <connection id="1722" xr16:uid="{E20F5B55-A7C7-4CF9-B8EA-30ECD8AF4831}" keepAlive="1" name="連線2547" type="5" refreshedVersion="0" background="1">
    <dbPr connection="Provider=Microsoft.Mashup.OleDb.1;Data Source=$Workbook$;Location=&quot;Table_00878_113_03&quot;;Extended Properties=&quot;&quot;" commandType="0"/>
  </connection>
  <connection id="1723" xr16:uid="{2D35DE99-23FF-4142-8EAC-141B794A8B57}" keepAlive="1" name="連線2548" type="5" refreshedVersion="0" background="1">
    <dbPr connection="Provider=Microsoft.Mashup.OleDb.1;Data Source=$Workbook$;Location=&quot;Table_00878_113_02&quot;;Extended Properties=&quot;&quot;" commandType="0"/>
  </connection>
  <connection id="1724" xr16:uid="{F49338DB-BE37-4F09-AB08-A43FB9662949}" keepAlive="1" name="連線2549" type="5" refreshedVersion="0" background="1">
    <dbPr connection="Provider=Microsoft.Mashup.OleDb.1;Data Source=$Workbook$;Location=&quot;Table_00878_113_01&quot;;Extended Properties=&quot;&quot;" commandType="0"/>
  </connection>
  <connection id="1725" xr16:uid="{B1825122-BCBF-495A-B9D9-EBAEA9D52626}" keepAlive="1" name="連線255" type="5" refreshedVersion="0" background="1">
    <dbPr connection="Provider=Microsoft.Mashup.OleDb.1;Data Source=$Workbook$;Location=&quot;Table_2002_113_01&quot;;Extended Properties=&quot;&quot;" commandType="0"/>
  </connection>
  <connection id="1726" xr16:uid="{5D3DDFAC-FC25-4442-8F01-9F24E11BC133}" keepAlive="1" name="連線2550" type="5" refreshedVersion="0" background="1">
    <dbPr connection="Provider=Microsoft.Mashup.OleDb.1;Data Source=$Workbook$;Location=&quot;Table_0056_113_03&quot;;Extended Properties=&quot;&quot;" commandType="0"/>
  </connection>
  <connection id="1727" xr16:uid="{7B93BE8F-C44C-4E24-8A96-2C8ED3EDA4B4}" keepAlive="1" name="連線2551" type="5" refreshedVersion="0" background="1">
    <dbPr connection="Provider=Microsoft.Mashup.OleDb.1;Data Source=$Workbook$;Location=&quot;Table_0056_113_02&quot;;Extended Properties=&quot;&quot;" commandType="0"/>
  </connection>
  <connection id="1728" xr16:uid="{34CE8091-7B4F-4321-9C67-CE94A3DD139F}" keepAlive="1" name="連線2552" type="5" refreshedVersion="0" background="1">
    <dbPr connection="Provider=Microsoft.Mashup.OleDb.1;Data Source=$Workbook$;Location=&quot;Table_0056_113_01&quot;;Extended Properties=&quot;&quot;" commandType="0"/>
  </connection>
  <connection id="1729" xr16:uid="{891B9E5D-EC7D-4A7F-94F2-2119E6D1A1AC}" keepAlive="1" name="連線2553" type="5" refreshedVersion="0" background="1">
    <dbPr connection="Provider=Microsoft.Mashup.OleDb.1;Data Source=$Workbook$;Location=&quot;Table_2912_113_03&quot;;Extended Properties=&quot;&quot;" commandType="0"/>
  </connection>
  <connection id="1730" xr16:uid="{FFD82C53-17F7-4ABC-BD42-51C11B989FB7}" keepAlive="1" name="連線2554" type="5" refreshedVersion="0" background="1">
    <dbPr connection="Provider=Microsoft.Mashup.OleDb.1;Data Source=$Workbook$;Location=&quot;Table_2912_113_02&quot;;Extended Properties=&quot;&quot;" commandType="0"/>
  </connection>
  <connection id="1731" xr16:uid="{4EF6AC98-90B6-4495-A423-31E0DD33A361}" keepAlive="1" name="連線2555" type="5" refreshedVersion="0" background="1">
    <dbPr connection="Provider=Microsoft.Mashup.OleDb.1;Data Source=$Workbook$;Location=&quot;Table_2912_113_01&quot;;Extended Properties=&quot;&quot;" commandType="0"/>
  </connection>
  <connection id="1732" xr16:uid="{5AFFB188-FECA-4659-8725-B74DE4C7340D}" keepAlive="1" name="連線2556" type="5" refreshedVersion="0" background="1">
    <dbPr connection="Provider=Microsoft.Mashup.OleDb.1;Data Source=$Workbook$;Location=&quot;Table_2882_113_03&quot;;Extended Properties=&quot;&quot;" commandType="0"/>
  </connection>
  <connection id="1733" xr16:uid="{CB093479-E0A8-4990-AF05-E279180756C8}" keepAlive="1" name="連線2557" type="5" refreshedVersion="0" background="1">
    <dbPr connection="Provider=Microsoft.Mashup.OleDb.1;Data Source=$Workbook$;Location=&quot;Table_2882_113_02&quot;;Extended Properties=&quot;&quot;" commandType="0"/>
  </connection>
  <connection id="1734" xr16:uid="{AF54CF42-E019-454B-901E-697969402F55}" keepAlive="1" name="連線2558" type="5" refreshedVersion="0" background="1">
    <dbPr connection="Provider=Microsoft.Mashup.OleDb.1;Data Source=$Workbook$;Location=&quot;Table_2882_113_01&quot;;Extended Properties=&quot;&quot;" commandType="0"/>
  </connection>
  <connection id="1735" xr16:uid="{18CF9F01-A8D7-44CE-979C-BC30A0C2F04D}" keepAlive="1" name="連線2559" type="5" refreshedVersion="0" background="1">
    <dbPr connection="Provider=Microsoft.Mashup.OleDb.1;Data Source=$Workbook$;Location=&quot;Table_2330_113_03&quot;;Extended Properties=&quot;&quot;" commandType="0"/>
  </connection>
  <connection id="1736" xr16:uid="{CEB1A3AE-8F6B-4332-8473-40C15F66F53E}" keepAlive="1" name="連線256" type="5" refreshedVersion="0" background="1">
    <dbPr connection="Provider=Microsoft.Mashup.OleDb.1;Data Source=$Workbook$;Location=&quot;Table_2882_113_03&quot;;Extended Properties=&quot;&quot;" commandType="0"/>
  </connection>
  <connection id="1737" xr16:uid="{0309FE54-710C-41E3-AFB7-608B9B7BDFA3}" keepAlive="1" name="連線2560" type="5" refreshedVersion="0" background="1">
    <dbPr connection="Provider=Microsoft.Mashup.OleDb.1;Data Source=$Workbook$;Location=&quot;Table_2330_113_02&quot;;Extended Properties=&quot;&quot;" commandType="0"/>
  </connection>
  <connection id="1738" xr16:uid="{5AC4E6E0-167C-4D01-AEBE-1D4C3DE54B19}" keepAlive="1" name="連線2561" type="5" refreshedVersion="0" background="1">
    <dbPr connection="Provider=Microsoft.Mashup.OleDb.1;Data Source=$Workbook$;Location=&quot;Table_2330_113_01&quot;;Extended Properties=&quot;&quot;" commandType="0"/>
  </connection>
  <connection id="1739" xr16:uid="{3C6C27E1-6A3E-4698-81DC-DE17B6C35784}" keepAlive="1" name="連線2562" type="5" refreshedVersion="0" background="1">
    <dbPr connection="Provider=Microsoft.Mashup.OleDb.1;Data Source=$Workbook$;Location=&quot;Table_00878_113_03&quot;;Extended Properties=&quot;&quot;" commandType="0"/>
  </connection>
  <connection id="1740" xr16:uid="{4BB11D3F-9572-4177-85BA-A156BCD3C9CF}" keepAlive="1" name="連線2563" type="5" refreshedVersion="0" background="1">
    <dbPr connection="Provider=Microsoft.Mashup.OleDb.1;Data Source=$Workbook$;Location=&quot;Table_00878_113_02&quot;;Extended Properties=&quot;&quot;" commandType="0"/>
  </connection>
  <connection id="1741" xr16:uid="{A8B2C8CB-8F4D-4B6E-9037-4468E6F8B2DB}" keepAlive="1" name="連線2564" type="5" refreshedVersion="0" background="1">
    <dbPr connection="Provider=Microsoft.Mashup.OleDb.1;Data Source=$Workbook$;Location=&quot;Table_00878_113_01&quot;;Extended Properties=&quot;&quot;" commandType="0"/>
  </connection>
  <connection id="1742" xr16:uid="{6FDD344E-5532-47BD-A7D1-5C355F50EAEA}" keepAlive="1" name="連線2565" type="5" refreshedVersion="0" background="1">
    <dbPr connection="Provider=Microsoft.Mashup.OleDb.1;Data Source=$Workbook$;Location=&quot;Table_0056_113_03&quot;;Extended Properties=&quot;&quot;" commandType="0"/>
  </connection>
  <connection id="1743" xr16:uid="{6E68655C-1EAB-410A-9E82-D6F07F97B512}" keepAlive="1" name="連線2566" type="5" refreshedVersion="0" background="1">
    <dbPr connection="Provider=Microsoft.Mashup.OleDb.1;Data Source=$Workbook$;Location=&quot;Table_0056_113_02&quot;;Extended Properties=&quot;&quot;" commandType="0"/>
  </connection>
  <connection id="1744" xr16:uid="{F278F1DB-C5D6-4293-9EF6-506146678716}" keepAlive="1" name="連線2567" type="5" refreshedVersion="0" background="1">
    <dbPr connection="Provider=Microsoft.Mashup.OleDb.1;Data Source=$Workbook$;Location=&quot;Table_0056_113_01&quot;;Extended Properties=&quot;&quot;" commandType="0"/>
  </connection>
  <connection id="1745" xr16:uid="{82CA32BB-2444-4309-861F-D1487E69097B}" keepAlive="1" name="連線2568" type="5" refreshedVersion="0" background="1">
    <dbPr connection="Provider=Microsoft.Mashup.OleDb.1;Data Source=$Workbook$;Location=&quot;Table_2912_113_03&quot;;Extended Properties=&quot;&quot;" commandType="0"/>
  </connection>
  <connection id="1746" xr16:uid="{83C68694-7E08-4628-BFA6-C55E979CF601}" keepAlive="1" name="連線2569" type="5" refreshedVersion="0" background="1">
    <dbPr connection="Provider=Microsoft.Mashup.OleDb.1;Data Source=$Workbook$;Location=&quot;Table_2912_113_02&quot;;Extended Properties=&quot;&quot;" commandType="0"/>
  </connection>
  <connection id="1747" xr16:uid="{6E74BB3A-9F54-471E-9DC0-0DCA93087084}" keepAlive="1" name="連線257" type="5" refreshedVersion="0" background="1">
    <dbPr connection="Provider=Microsoft.Mashup.OleDb.1;Data Source=$Workbook$;Location=&quot;Table_2882_113_02&quot;;Extended Properties=&quot;&quot;" commandType="0"/>
  </connection>
  <connection id="1748" xr16:uid="{AF82FC84-8FE9-4C21-ABB9-68947DC3CA42}" keepAlive="1" name="連線2570" type="5" refreshedVersion="0" background="1">
    <dbPr connection="Provider=Microsoft.Mashup.OleDb.1;Data Source=$Workbook$;Location=&quot;Table_2912_113_01&quot;;Extended Properties=&quot;&quot;" commandType="0"/>
  </connection>
  <connection id="1749" xr16:uid="{93DF699C-B4C0-4961-8C16-7E9871477B4F}" keepAlive="1" name="連線2571" type="5" refreshedVersion="0" background="1">
    <dbPr connection="Provider=Microsoft.Mashup.OleDb.1;Data Source=$Workbook$;Location=&quot;Table_2882_113_03&quot;;Extended Properties=&quot;&quot;" commandType="0"/>
  </connection>
  <connection id="1750" xr16:uid="{1846A302-48F7-4A7C-93F0-C8326C0668E4}" keepAlive="1" name="連線2572" type="5" refreshedVersion="0" background="1">
    <dbPr connection="Provider=Microsoft.Mashup.OleDb.1;Data Source=$Workbook$;Location=&quot;Table_2882_113_02&quot;;Extended Properties=&quot;&quot;" commandType="0"/>
  </connection>
  <connection id="1751" xr16:uid="{975D701F-3077-4183-BF8E-CD034810F822}" keepAlive="1" name="連線2573" type="5" refreshedVersion="0" background="1">
    <dbPr connection="Provider=Microsoft.Mashup.OleDb.1;Data Source=$Workbook$;Location=&quot;Table_2882_113_01&quot;;Extended Properties=&quot;&quot;" commandType="0"/>
  </connection>
  <connection id="1752" xr16:uid="{365830D2-B23D-4A90-A5CF-8704B8AEB029}" keepAlive="1" name="連線2574" type="5" refreshedVersion="0" background="1">
    <dbPr connection="Provider=Microsoft.Mashup.OleDb.1;Data Source=$Workbook$;Location=&quot;Table_2330_113_03&quot;;Extended Properties=&quot;&quot;" commandType="0"/>
  </connection>
  <connection id="1753" xr16:uid="{56610147-949D-45E7-9A95-D0D418D9F516}" keepAlive="1" name="連線2575" type="5" refreshedVersion="0" background="1">
    <dbPr connection="Provider=Microsoft.Mashup.OleDb.1;Data Source=$Workbook$;Location=&quot;Table_2330_113_02&quot;;Extended Properties=&quot;&quot;" commandType="0"/>
  </connection>
  <connection id="1754" xr16:uid="{A22A68FD-D6D0-41BB-BC5F-BB80C96FEA63}" keepAlive="1" name="連線2576" type="5" refreshedVersion="0" background="1">
    <dbPr connection="Provider=Microsoft.Mashup.OleDb.1;Data Source=$Workbook$;Location=&quot;Table_2330_113_01&quot;;Extended Properties=&quot;&quot;" commandType="0"/>
  </connection>
  <connection id="1755" xr16:uid="{7C202627-72F7-479C-B64E-E1E924D69712}" keepAlive="1" name="連線2577" type="5" refreshedVersion="0" background="1">
    <dbPr connection="Provider=Microsoft.Mashup.OleDb.1;Data Source=$Workbook$;Location=&quot;Table_00878_113_03&quot;;Extended Properties=&quot;&quot;" commandType="0"/>
  </connection>
  <connection id="1756" xr16:uid="{456FFCF7-8EB6-4499-B42C-3416E2AEC5D3}" keepAlive="1" name="連線2578" type="5" refreshedVersion="0" background="1">
    <dbPr connection="Provider=Microsoft.Mashup.OleDb.1;Data Source=$Workbook$;Location=&quot;Table_00878_113_02&quot;;Extended Properties=&quot;&quot;" commandType="0"/>
  </connection>
  <connection id="1757" xr16:uid="{58905468-3D7F-416A-84C7-16E1FB74252D}" keepAlive="1" name="連線2579" type="5" refreshedVersion="0" background="1">
    <dbPr connection="Provider=Microsoft.Mashup.OleDb.1;Data Source=$Workbook$;Location=&quot;Table_00878_113_01&quot;;Extended Properties=&quot;&quot;" commandType="0"/>
  </connection>
  <connection id="1758" xr16:uid="{F5431EDF-13E7-404A-BB1C-A43EBF606FE6}" keepAlive="1" name="連線258" type="5" refreshedVersion="0" background="1">
    <dbPr connection="Provider=Microsoft.Mashup.OleDb.1;Data Source=$Workbook$;Location=&quot;Table_2882_113_01&quot;;Extended Properties=&quot;&quot;" commandType="0"/>
  </connection>
  <connection id="1759" xr16:uid="{64DD50F3-2C36-4577-9EB2-AC124B6F5029}" keepAlive="1" name="連線2580" type="5" refreshedVersion="0" background="1">
    <dbPr connection="Provider=Microsoft.Mashup.OleDb.1;Data Source=$Workbook$;Location=&quot;Table_0056_113_03&quot;;Extended Properties=&quot;&quot;" commandType="0"/>
  </connection>
  <connection id="1760" xr16:uid="{2F62FC63-C8BF-4FAD-A88F-CC5AF1209160}" keepAlive="1" name="連線2581" type="5" refreshedVersion="0" background="1">
    <dbPr connection="Provider=Microsoft.Mashup.OleDb.1;Data Source=$Workbook$;Location=&quot;Table_0056_113_02&quot;;Extended Properties=&quot;&quot;" commandType="0"/>
  </connection>
  <connection id="1761" xr16:uid="{73009A21-7648-4876-B34D-EC1485B7C5C0}" keepAlive="1" name="連線2582" type="5" refreshedVersion="0" background="1">
    <dbPr connection="Provider=Microsoft.Mashup.OleDb.1;Data Source=$Workbook$;Location=&quot;Table_0056_113_01&quot;;Extended Properties=&quot;&quot;" commandType="0"/>
  </connection>
  <connection id="1762" xr16:uid="{E0D17E74-C1E7-4220-A580-4D7B2A8D0F90}" keepAlive="1" name="連線2583" type="5" refreshedVersion="0" background="1">
    <dbPr connection="Provider=Microsoft.Mashup.OleDb.1;Data Source=$Workbook$;Location=&quot;Table_2912_113_03&quot;;Extended Properties=&quot;&quot;" commandType="0"/>
  </connection>
  <connection id="1763" xr16:uid="{D21AEE9A-DFA9-489C-AA83-38D784F66417}" keepAlive="1" name="連線2584" type="5" refreshedVersion="0" background="1">
    <dbPr connection="Provider=Microsoft.Mashup.OleDb.1;Data Source=$Workbook$;Location=&quot;Table_2912_113_02&quot;;Extended Properties=&quot;&quot;" commandType="0"/>
  </connection>
  <connection id="1764" xr16:uid="{381102BB-9F3C-4D5C-AFB5-55010EB3563F}" keepAlive="1" name="連線2585" type="5" refreshedVersion="0" background="1">
    <dbPr connection="Provider=Microsoft.Mashup.OleDb.1;Data Source=$Workbook$;Location=&quot;Table_2912_113_01&quot;;Extended Properties=&quot;&quot;" commandType="0"/>
  </connection>
  <connection id="1765" xr16:uid="{3F699B2A-AE14-48CE-9B9A-DA627D12E13E}" keepAlive="1" name="連線2586" type="5" refreshedVersion="0" background="1">
    <dbPr connection="Provider=Microsoft.Mashup.OleDb.1;Data Source=$Workbook$;Location=&quot;Table_2882_113_03&quot;;Extended Properties=&quot;&quot;" commandType="0"/>
  </connection>
  <connection id="1766" xr16:uid="{D50754E6-5B70-4937-ABDB-74CDF0102E03}" keepAlive="1" name="連線2587" type="5" refreshedVersion="0" background="1">
    <dbPr connection="Provider=Microsoft.Mashup.OleDb.1;Data Source=$Workbook$;Location=&quot;Table_2882_113_02&quot;;Extended Properties=&quot;&quot;" commandType="0"/>
  </connection>
  <connection id="1767" xr16:uid="{5A0D6E9F-F8C4-4514-A6AF-12888FE8FED6}" keepAlive="1" name="連線2588" type="5" refreshedVersion="0" background="1">
    <dbPr connection="Provider=Microsoft.Mashup.OleDb.1;Data Source=$Workbook$;Location=&quot;Table_2882_113_01&quot;;Extended Properties=&quot;&quot;" commandType="0"/>
  </connection>
  <connection id="1768" xr16:uid="{BD9996DC-DE76-4087-B687-D5B68620F712}" keepAlive="1" name="連線2589" type="5" refreshedVersion="0" background="1">
    <dbPr connection="Provider=Microsoft.Mashup.OleDb.1;Data Source=$Workbook$;Location=&quot;Table_2330_113_03&quot;;Extended Properties=&quot;&quot;" commandType="0"/>
  </connection>
  <connection id="1769" xr16:uid="{39E30833-5203-45D7-8168-4A9C75163685}" keepAlive="1" name="連線259" type="5" refreshedVersion="0" background="1">
    <dbPr connection="Provider=Microsoft.Mashup.OleDb.1;Data Source=$Workbook$;Location=&quot;Table_2330_113_03&quot;;Extended Properties=&quot;&quot;" commandType="0"/>
  </connection>
  <connection id="1770" xr16:uid="{6A9428C2-6206-48FA-9D40-09CE593356B3}" keepAlive="1" name="連線2590" type="5" refreshedVersion="0" background="1">
    <dbPr connection="Provider=Microsoft.Mashup.OleDb.1;Data Source=$Workbook$;Location=&quot;Table_2330_113_02&quot;;Extended Properties=&quot;&quot;" commandType="0"/>
  </connection>
  <connection id="1771" xr16:uid="{AB5D4AC0-9A96-4ECE-A590-308472700607}" keepAlive="1" name="連線2591" type="5" refreshedVersion="0" background="1">
    <dbPr connection="Provider=Microsoft.Mashup.OleDb.1;Data Source=$Workbook$;Location=&quot;Table_2330_113_01&quot;;Extended Properties=&quot;&quot;" commandType="0"/>
  </connection>
  <connection id="1772" xr16:uid="{26365106-2DCC-4782-9116-53D4F16DBD94}" keepAlive="1" name="連線2592" type="5" refreshedVersion="0" background="1">
    <dbPr connection="Provider=Microsoft.Mashup.OleDb.1;Data Source=$Workbook$;Location=&quot;Table_00878_113_03&quot;;Extended Properties=&quot;&quot;" commandType="0"/>
  </connection>
  <connection id="1773" xr16:uid="{6D2264E5-F618-4DA6-B809-2BCEFC557AD5}" keepAlive="1" name="連線2593" type="5" refreshedVersion="0" background="1">
    <dbPr connection="Provider=Microsoft.Mashup.OleDb.1;Data Source=$Workbook$;Location=&quot;Table_00878_113_02&quot;;Extended Properties=&quot;&quot;" commandType="0"/>
  </connection>
  <connection id="1774" xr16:uid="{BE51E42D-E14F-4610-9C91-5A2146628669}" keepAlive="1" name="連線2594" type="5" refreshedVersion="0" background="1">
    <dbPr connection="Provider=Microsoft.Mashup.OleDb.1;Data Source=$Workbook$;Location=&quot;Table_00878_113_01&quot;;Extended Properties=&quot;&quot;" commandType="0"/>
  </connection>
  <connection id="1775" xr16:uid="{D317E2BD-975C-4CE6-9FC7-A2BED3E4A145}" keepAlive="1" name="連線2595" type="5" refreshedVersion="0" background="1">
    <dbPr connection="Provider=Microsoft.Mashup.OleDb.1;Data Source=$Workbook$;Location=&quot;Table_0056_113_03&quot;;Extended Properties=&quot;&quot;" commandType="0"/>
  </connection>
  <connection id="1776" xr16:uid="{C98A8436-BCAD-47AF-ADA6-1F2E89FD066A}" keepAlive="1" name="連線2596" type="5" refreshedVersion="0" background="1">
    <dbPr connection="Provider=Microsoft.Mashup.OleDb.1;Data Source=$Workbook$;Location=&quot;Table_0056_113_02&quot;;Extended Properties=&quot;&quot;" commandType="0"/>
  </connection>
  <connection id="1777" xr16:uid="{04F140E2-E653-43D7-9479-2C5FD76E5209}" keepAlive="1" name="連線2597" type="5" refreshedVersion="0" background="1">
    <dbPr connection="Provider=Microsoft.Mashup.OleDb.1;Data Source=$Workbook$;Location=&quot;Table_0056_113_01&quot;;Extended Properties=&quot;&quot;" commandType="0"/>
  </connection>
  <connection id="1778" xr16:uid="{224B0CB1-B478-4DF1-9408-D3C08DCA443B}" keepAlive="1" name="連線2598" type="5" refreshedVersion="0" background="1">
    <dbPr connection="Provider=Microsoft.Mashup.OleDb.1;Data Source=$Workbook$;Location=&quot;Table_2912_113_03&quot;;Extended Properties=&quot;&quot;" commandType="0"/>
  </connection>
  <connection id="1779" xr16:uid="{7E279ED5-CC85-49EC-8614-A85F483E0790}" keepAlive="1" name="連線2599" type="5" refreshedVersion="0" background="1">
    <dbPr connection="Provider=Microsoft.Mashup.OleDb.1;Data Source=$Workbook$;Location=&quot;Table_2912_113_02&quot;;Extended Properties=&quot;&quot;" commandType="0"/>
  </connection>
  <connection id="1780" xr16:uid="{D7ABA67A-9B19-42C0-A816-469B5F0E0E7C}" keepAlive="1" name="連線26" type="5" refreshedVersion="0" background="1">
    <dbPr connection="Provider=Microsoft.Mashup.OleDb.1;Data Source=$Workbook$;Location=&quot;Table 4&quot;;Extended Properties=&quot;&quot;" commandType="0"/>
  </connection>
  <connection id="1781" xr16:uid="{20F66826-D8E8-4676-9074-5FC900037B9D}" keepAlive="1" name="連線260" type="5" refreshedVersion="0" background="1">
    <dbPr connection="Provider=Microsoft.Mashup.OleDb.1;Data Source=$Workbook$;Location=&quot;Table_2330_113_02&quot;;Extended Properties=&quot;&quot;" commandType="0"/>
  </connection>
  <connection id="1782" xr16:uid="{776B05DD-8EB5-4780-A796-3F7347A02B22}" keepAlive="1" name="連線2600" type="5" refreshedVersion="0" background="1">
    <dbPr connection="Provider=Microsoft.Mashup.OleDb.1;Data Source=$Workbook$;Location=&quot;Table_2912_113_01&quot;;Extended Properties=&quot;&quot;" commandType="0"/>
  </connection>
  <connection id="1783" xr16:uid="{65F808F4-DAD6-47A6-9EAD-EE1A63B11189}" keepAlive="1" name="連線2601" type="5" refreshedVersion="0" background="1">
    <dbPr connection="Provider=Microsoft.Mashup.OleDb.1;Data Source=$Workbook$;Location=&quot;Table_2882_113_03&quot;;Extended Properties=&quot;&quot;" commandType="0"/>
  </connection>
  <connection id="1784" xr16:uid="{EE523DF9-E428-41ED-8C2E-394041073568}" keepAlive="1" name="連線2602" type="5" refreshedVersion="0" background="1">
    <dbPr connection="Provider=Microsoft.Mashup.OleDb.1;Data Source=$Workbook$;Location=&quot;Table_2882_113_02&quot;;Extended Properties=&quot;&quot;" commandType="0"/>
  </connection>
  <connection id="1785" xr16:uid="{9A3A4716-3220-4DE6-88F9-746A55934D83}" keepAlive="1" name="連線2603" type="5" refreshedVersion="0" background="1">
    <dbPr connection="Provider=Microsoft.Mashup.OleDb.1;Data Source=$Workbook$;Location=&quot;Table_2882_113_01&quot;;Extended Properties=&quot;&quot;" commandType="0"/>
  </connection>
  <connection id="1786" xr16:uid="{EACC038A-1F19-4458-983F-4FA0BA8798F3}" keepAlive="1" name="連線2604" type="5" refreshedVersion="0" background="1">
    <dbPr connection="Provider=Microsoft.Mashup.OleDb.1;Data Source=$Workbook$;Location=&quot;Table_2330_113_03&quot;;Extended Properties=&quot;&quot;" commandType="0"/>
  </connection>
  <connection id="1787" xr16:uid="{B7AAAF29-A02E-4584-9C0F-3203C2964766}" keepAlive="1" name="連線2605" type="5" refreshedVersion="0" background="1">
    <dbPr connection="Provider=Microsoft.Mashup.OleDb.1;Data Source=$Workbook$;Location=&quot;Table_2330_113_02&quot;;Extended Properties=&quot;&quot;" commandType="0"/>
  </connection>
  <connection id="1788" xr16:uid="{D1E5DAD7-6E42-4B21-9A0B-55DB63599D58}" keepAlive="1" name="連線2606" type="5" refreshedVersion="0" background="1">
    <dbPr connection="Provider=Microsoft.Mashup.OleDb.1;Data Source=$Workbook$;Location=&quot;Table_2330_113_01&quot;;Extended Properties=&quot;&quot;" commandType="0"/>
  </connection>
  <connection id="1789" xr16:uid="{ECCAB049-010A-40B2-BC29-A33D360FF713}" keepAlive="1" name="連線2607" type="5" refreshedVersion="0" background="1">
    <dbPr connection="Provider=Microsoft.Mashup.OleDb.1;Data Source=$Workbook$;Location=&quot;Table_00878_113_03&quot;;Extended Properties=&quot;&quot;" commandType="0"/>
  </connection>
  <connection id="1790" xr16:uid="{F076D0BF-692F-4633-99AB-72139E3F8D90}" keepAlive="1" name="連線2608" type="5" refreshedVersion="0" background="1">
    <dbPr connection="Provider=Microsoft.Mashup.OleDb.1;Data Source=$Workbook$;Location=&quot;Table_00878_113_02&quot;;Extended Properties=&quot;&quot;" commandType="0"/>
  </connection>
  <connection id="1791" xr16:uid="{C1CCF575-3ACA-4A23-9A6F-7D41619067A1}" keepAlive="1" name="連線2609" type="5" refreshedVersion="0" background="1">
    <dbPr connection="Provider=Microsoft.Mashup.OleDb.1;Data Source=$Workbook$;Location=&quot;Table_00878_113_01&quot;;Extended Properties=&quot;&quot;" commandType="0"/>
  </connection>
  <connection id="1792" xr16:uid="{3863536D-CB9A-404A-BADD-0CF700B8D225}" keepAlive="1" name="連線261" type="5" refreshedVersion="0" background="1">
    <dbPr connection="Provider=Microsoft.Mashup.OleDb.1;Data Source=$Workbook$;Location=&quot;Table_2330_113_01&quot;;Extended Properties=&quot;&quot;" commandType="0"/>
  </connection>
  <connection id="1793" xr16:uid="{BBE4C265-D3E1-4E60-8A6F-593FD212F834}" keepAlive="1" name="連線2610" type="5" refreshedVersion="0" background="1">
    <dbPr connection="Provider=Microsoft.Mashup.OleDb.1;Data Source=$Workbook$;Location=&quot;Table_0056_113_03&quot;;Extended Properties=&quot;&quot;" commandType="0"/>
  </connection>
  <connection id="1794" xr16:uid="{9EF8C8E6-E470-4FE4-AE17-33707AD36618}" keepAlive="1" name="連線2611" type="5" refreshedVersion="0" background="1">
    <dbPr connection="Provider=Microsoft.Mashup.OleDb.1;Data Source=$Workbook$;Location=&quot;Table_0056_113_02&quot;;Extended Properties=&quot;&quot;" commandType="0"/>
  </connection>
  <connection id="1795" xr16:uid="{315FCC2B-D0AB-4DCE-8FFA-8FBCEC4963CD}" keepAlive="1" name="連線2612" type="5" refreshedVersion="0" background="1">
    <dbPr connection="Provider=Microsoft.Mashup.OleDb.1;Data Source=$Workbook$;Location=&quot;Table_0056_113_01&quot;;Extended Properties=&quot;&quot;" commandType="0"/>
  </connection>
  <connection id="1796" xr16:uid="{38CB1694-E123-46B8-89BE-913EF2053440}" keepAlive="1" name="連線2613" type="5" refreshedVersion="0" background="1">
    <dbPr connection="Provider=Microsoft.Mashup.OleDb.1;Data Source=$Workbook$;Location=&quot;Table_2912_113_03&quot;;Extended Properties=&quot;&quot;" commandType="0"/>
  </connection>
  <connection id="1797" xr16:uid="{5F0889ED-59BC-4D80-8EDF-56842052920F}" keepAlive="1" name="連線2614" type="5" refreshedVersion="0" background="1">
    <dbPr connection="Provider=Microsoft.Mashup.OleDb.1;Data Source=$Workbook$;Location=&quot;Table_2912_113_02&quot;;Extended Properties=&quot;&quot;" commandType="0"/>
  </connection>
  <connection id="1798" xr16:uid="{C4F8C339-7886-43DD-9BD9-1C3BAA51CBBD}" keepAlive="1" name="連線2615" type="5" refreshedVersion="0" background="1">
    <dbPr connection="Provider=Microsoft.Mashup.OleDb.1;Data Source=$Workbook$;Location=&quot;Table_2912_113_01&quot;;Extended Properties=&quot;&quot;" commandType="0"/>
  </connection>
  <connection id="1799" xr16:uid="{2C2432FC-748A-41F2-A50A-E666743F18A1}" keepAlive="1" name="連線2616" type="5" refreshedVersion="0" background="1">
    <dbPr connection="Provider=Microsoft.Mashup.OleDb.1;Data Source=$Workbook$;Location=&quot;Table_2882_113_03&quot;;Extended Properties=&quot;&quot;" commandType="0"/>
  </connection>
  <connection id="1800" xr16:uid="{7EDCEA4B-A802-4722-81BE-465EF179FCC5}" keepAlive="1" name="連線2617" type="5" refreshedVersion="0" background="1">
    <dbPr connection="Provider=Microsoft.Mashup.OleDb.1;Data Source=$Workbook$;Location=&quot;Table_2882_113_02&quot;;Extended Properties=&quot;&quot;" commandType="0"/>
  </connection>
  <connection id="1801" xr16:uid="{81842D45-9FE9-4E6A-99E9-925A3EE098EB}" keepAlive="1" name="連線2618" type="5" refreshedVersion="0" background="1">
    <dbPr connection="Provider=Microsoft.Mashup.OleDb.1;Data Source=$Workbook$;Location=&quot;Table_2882_113_01&quot;;Extended Properties=&quot;&quot;" commandType="0"/>
  </connection>
  <connection id="1802" xr16:uid="{164ABFAA-62BE-4024-BC84-DE770FFA61AF}" keepAlive="1" name="連線2619" type="5" refreshedVersion="0" background="1">
    <dbPr connection="Provider=Microsoft.Mashup.OleDb.1;Data Source=$Workbook$;Location=&quot;Table_2330_113_03&quot;;Extended Properties=&quot;&quot;" commandType="0"/>
  </connection>
  <connection id="1803" xr16:uid="{A5763DFE-EC3F-488E-A900-F25190C6A0B4}" keepAlive="1" name="連線262" type="5" refreshedVersion="0" background="1">
    <dbPr connection="Provider=Microsoft.Mashup.OleDb.1;Data Source=$Workbook$;Location=&quot;Table_1101_113_03&quot;;Extended Properties=&quot;&quot;" commandType="0"/>
  </connection>
  <connection id="1804" xr16:uid="{7837E0F1-62A7-4213-B6B9-AF57761D20AD}" keepAlive="1" name="連線2620" type="5" refreshedVersion="0" background="1">
    <dbPr connection="Provider=Microsoft.Mashup.OleDb.1;Data Source=$Workbook$;Location=&quot;Table_2330_113_02&quot;;Extended Properties=&quot;&quot;" commandType="0"/>
  </connection>
  <connection id="1805" xr16:uid="{9780BA08-D4CE-4091-AF22-221D0486AC17}" keepAlive="1" name="連線2621" type="5" refreshedVersion="0" background="1">
    <dbPr connection="Provider=Microsoft.Mashup.OleDb.1;Data Source=$Workbook$;Location=&quot;Table_2330_113_01&quot;;Extended Properties=&quot;&quot;" commandType="0"/>
  </connection>
  <connection id="1806" xr16:uid="{3A995CBE-257C-4C9E-A7F7-BF730859514F}" keepAlive="1" name="連線2622" type="5" refreshedVersion="0" background="1">
    <dbPr connection="Provider=Microsoft.Mashup.OleDb.1;Data Source=$Workbook$;Location=&quot;Table_00878_113_03&quot;;Extended Properties=&quot;&quot;" commandType="0"/>
  </connection>
  <connection id="1807" xr16:uid="{02EFCF6A-17E2-4253-ABA8-914485AE94DC}" keepAlive="1" name="連線2623" type="5" refreshedVersion="0" background="1">
    <dbPr connection="Provider=Microsoft.Mashup.OleDb.1;Data Source=$Workbook$;Location=&quot;Table_00878_113_02&quot;;Extended Properties=&quot;&quot;" commandType="0"/>
  </connection>
  <connection id="1808" xr16:uid="{A4350F35-91F8-491B-B034-D3C176E2C35C}" keepAlive="1" name="連線2624" type="5" refreshedVersion="0" background="1">
    <dbPr connection="Provider=Microsoft.Mashup.OleDb.1;Data Source=$Workbook$;Location=&quot;Table_00878_113_01&quot;;Extended Properties=&quot;&quot;" commandType="0"/>
  </connection>
  <connection id="1809" xr16:uid="{6E35AB0E-C431-462B-863A-E5E0AC7204F1}" keepAlive="1" name="連線2625" type="5" refreshedVersion="0" background="1">
    <dbPr connection="Provider=Microsoft.Mashup.OleDb.1;Data Source=$Workbook$;Location=&quot;Table_0056_113_03&quot;;Extended Properties=&quot;&quot;" commandType="0"/>
  </connection>
  <connection id="1810" xr16:uid="{9CBA77F4-E15E-4485-A2CB-48926472D0B0}" keepAlive="1" name="連線2626" type="5" refreshedVersion="0" background="1">
    <dbPr connection="Provider=Microsoft.Mashup.OleDb.1;Data Source=$Workbook$;Location=&quot;Table_0056_113_02&quot;;Extended Properties=&quot;&quot;" commandType="0"/>
  </connection>
  <connection id="1811" xr16:uid="{0B2EAC25-DB15-4361-93AB-87E35A90C3D9}" keepAlive="1" name="連線2627" type="5" refreshedVersion="0" background="1">
    <dbPr connection="Provider=Microsoft.Mashup.OleDb.1;Data Source=$Workbook$;Location=&quot;Table_0056_113_01&quot;;Extended Properties=&quot;&quot;" commandType="0"/>
  </connection>
  <connection id="1812" xr16:uid="{40D60A66-95C9-436D-A144-9A27C102FE29}" keepAlive="1" name="連線2628" type="5" refreshedVersion="0" background="1">
    <dbPr connection="Provider=Microsoft.Mashup.OleDb.1;Data Source=$Workbook$;Location=&quot;Table_2912_113_03&quot;;Extended Properties=&quot;&quot;" commandType="0"/>
  </connection>
  <connection id="1813" xr16:uid="{95F5C91D-4B57-415C-B009-34EC46D9346D}" keepAlive="1" name="連線2629" type="5" refreshedVersion="0" background="1">
    <dbPr connection="Provider=Microsoft.Mashup.OleDb.1;Data Source=$Workbook$;Location=&quot;Table_2912_113_02&quot;;Extended Properties=&quot;&quot;" commandType="0"/>
  </connection>
  <connection id="1814" xr16:uid="{3736D69E-71D2-4434-A2F0-8A9B508BEA29}" keepAlive="1" name="連線263" type="5" refreshedVersion="0" background="1">
    <dbPr connection="Provider=Microsoft.Mashup.OleDb.1;Data Source=$Workbook$;Location=&quot;Table_1101_113_02&quot;;Extended Properties=&quot;&quot;" commandType="0"/>
  </connection>
  <connection id="1815" xr16:uid="{ACD82CD8-F89E-4383-A10E-C58DE7FA8822}" keepAlive="1" name="連線2630" type="5" refreshedVersion="0" background="1">
    <dbPr connection="Provider=Microsoft.Mashup.OleDb.1;Data Source=$Workbook$;Location=&quot;Table_2912_113_01&quot;;Extended Properties=&quot;&quot;" commandType="0"/>
  </connection>
  <connection id="1816" xr16:uid="{A26102A2-C5A3-4A39-849B-98F0C7DD9160}" keepAlive="1" name="連線264" type="5" refreshedVersion="0" background="1">
    <dbPr connection="Provider=Microsoft.Mashup.OleDb.1;Data Source=$Workbook$;Location=&quot;Table_1101_113_01&quot;;Extended Properties=&quot;&quot;" commandType="0"/>
  </connection>
  <connection id="1817" xr16:uid="{5DA0F282-FB74-4236-93C9-15B8C58B64F6}" keepAlive="1" name="連線265" type="5" refreshedVersion="0" background="1">
    <dbPr connection="Provider=Microsoft.Mashup.OleDb.1;Data Source=$Workbook$;Location=&quot;Table_2912_113_03&quot;;Extended Properties=&quot;&quot;" commandType="0"/>
  </connection>
  <connection id="1818" xr16:uid="{60478A8D-5E17-492C-B93F-5C146C291300}" keepAlive="1" name="連線266" type="5" refreshedVersion="0" background="1">
    <dbPr connection="Provider=Microsoft.Mashup.OleDb.1;Data Source=$Workbook$;Location=&quot;Table_2912_113_02&quot;;Extended Properties=&quot;&quot;" commandType="0"/>
  </connection>
  <connection id="1819" xr16:uid="{690CEE9E-D033-4EDE-A988-3D5C485B160E}" keepAlive="1" name="連線267" type="5" refreshedVersion="0" background="1">
    <dbPr connection="Provider=Microsoft.Mashup.OleDb.1;Data Source=$Workbook$;Location=&quot;Table_2912_113_01&quot;;Extended Properties=&quot;&quot;" commandType="0"/>
  </connection>
  <connection id="1820" xr16:uid="{79F4C0DB-6671-44B8-907C-33305CFBE06A}" keepAlive="1" name="連線268" type="5" refreshedVersion="0" background="1">
    <dbPr connection="Provider=Microsoft.Mashup.OleDb.1;Data Source=$Workbook$;Location=&quot;Table_2002_113_03&quot;;Extended Properties=&quot;&quot;" commandType="0"/>
  </connection>
  <connection id="1821" xr16:uid="{D40E3CBB-302E-4F2B-8E4C-C25F9377874B}" keepAlive="1" name="連線269" type="5" refreshedVersion="0" background="1">
    <dbPr connection="Provider=Microsoft.Mashup.OleDb.1;Data Source=$Workbook$;Location=&quot;Table_2002_113_02&quot;;Extended Properties=&quot;&quot;" commandType="0"/>
  </connection>
  <connection id="1822" xr16:uid="{D0EB6D05-7C81-4845-94DD-63C655BC12D1}" keepAlive="1" name="連線27" type="5" refreshedVersion="0" background="1">
    <dbPr connection="Provider=Microsoft.Mashup.OleDb.1;Data Source=$Workbook$;Location=&quot;Table 5&quot;;Extended Properties=&quot;&quot;" commandType="0"/>
  </connection>
  <connection id="1823" xr16:uid="{B1827E0B-01DB-4F12-A8D7-6FBE16CE659C}" keepAlive="1" name="連線270" type="5" refreshedVersion="0" background="1">
    <dbPr connection="Provider=Microsoft.Mashup.OleDb.1;Data Source=$Workbook$;Location=&quot;Table_2002_113_01&quot;;Extended Properties=&quot;&quot;" commandType="0"/>
  </connection>
  <connection id="1824" xr16:uid="{3C6BED95-68F1-4417-A481-F08D3F3F82C1}" keepAlive="1" name="連線271" type="5" refreshedVersion="0" background="1">
    <dbPr connection="Provider=Microsoft.Mashup.OleDb.1;Data Source=$Workbook$;Location=&quot;Table_2882_113_03&quot;;Extended Properties=&quot;&quot;" commandType="0"/>
  </connection>
  <connection id="1825" xr16:uid="{8B3A035D-9D4C-4949-B6F1-231C3541840B}" keepAlive="1" name="連線272" type="5" refreshedVersion="0" background="1">
    <dbPr connection="Provider=Microsoft.Mashup.OleDb.1;Data Source=$Workbook$;Location=&quot;Table_2882_113_02&quot;;Extended Properties=&quot;&quot;" commandType="0"/>
  </connection>
  <connection id="1826" xr16:uid="{B3F13894-786E-4C04-ACFA-B93129B0D8C1}" keepAlive="1" name="連線273" type="5" refreshedVersion="0" background="1">
    <dbPr connection="Provider=Microsoft.Mashup.OleDb.1;Data Source=$Workbook$;Location=&quot;Table_2882_113_01&quot;;Extended Properties=&quot;&quot;" commandType="0"/>
  </connection>
  <connection id="1827" xr16:uid="{5756BB8F-F7A8-45AE-B506-371E19EDD00E}" keepAlive="1" name="連線274" type="5" refreshedVersion="0" background="1">
    <dbPr connection="Provider=Microsoft.Mashup.OleDb.1;Data Source=$Workbook$;Location=&quot;Table_2330_113_03&quot;;Extended Properties=&quot;&quot;" commandType="0"/>
  </connection>
  <connection id="1828" xr16:uid="{F22460A8-3671-4955-8172-4D671C8EB22F}" keepAlive="1" name="連線275" type="5" refreshedVersion="0" background="1">
    <dbPr connection="Provider=Microsoft.Mashup.OleDb.1;Data Source=$Workbook$;Location=&quot;Table_2330_113_02&quot;;Extended Properties=&quot;&quot;" commandType="0"/>
  </connection>
  <connection id="1829" xr16:uid="{3C87C0F6-4B1E-4919-A2B5-FE51225B3145}" keepAlive="1" name="連線276" type="5" refreshedVersion="0" background="1">
    <dbPr connection="Provider=Microsoft.Mashup.OleDb.1;Data Source=$Workbook$;Location=&quot;Table_2330_113_01&quot;;Extended Properties=&quot;&quot;" commandType="0"/>
  </connection>
  <connection id="1830" xr16:uid="{D644710A-6E6F-490F-8D1E-617D4F46928E}" keepAlive="1" name="連線277" type="5" refreshedVersion="0" background="1">
    <dbPr connection="Provider=Microsoft.Mashup.OleDb.1;Data Source=$Workbook$;Location=&quot;Table_1101_113_03&quot;;Extended Properties=&quot;&quot;" commandType="0"/>
  </connection>
  <connection id="1831" xr16:uid="{4FA082FF-3EB5-4176-996D-8C93F0433798}" keepAlive="1" name="連線278" type="5" refreshedVersion="0" background="1">
    <dbPr connection="Provider=Microsoft.Mashup.OleDb.1;Data Source=$Workbook$;Location=&quot;Table_1101_113_02&quot;;Extended Properties=&quot;&quot;" commandType="0"/>
  </connection>
  <connection id="1832" xr16:uid="{ABA7C3CB-F3BF-46F2-90B1-572A8BBCD31B}" keepAlive="1" name="連線279" type="5" refreshedVersion="0" background="1">
    <dbPr connection="Provider=Microsoft.Mashup.OleDb.1;Data Source=$Workbook$;Location=&quot;Table_1101_113_01&quot;;Extended Properties=&quot;&quot;" commandType="0"/>
  </connection>
  <connection id="1833" xr16:uid="{6B889FDB-DA77-4751-8B77-4180751B2EAF}" keepAlive="1" name="連線28" type="5" refreshedVersion="0" background="1">
    <dbPr connection="Provider=Microsoft.Mashup.OleDb.1;Data Source=$Workbook$;Location=&quot;Table 6&quot;;Extended Properties=&quot;&quot;" commandType="0"/>
  </connection>
  <connection id="1834" xr16:uid="{EB3711B3-79DD-4B0A-9C43-03FFCF5E7699}" keepAlive="1" name="連線280" type="5" refreshedVersion="0" background="1">
    <dbPr connection="Provider=Microsoft.Mashup.OleDb.1;Data Source=$Workbook$;Location=&quot;Table_2912_113_03&quot;;Extended Properties=&quot;&quot;" commandType="0"/>
  </connection>
  <connection id="1835" xr16:uid="{94C51ED6-6C29-4E53-B9E8-4396C9B4F3B5}" keepAlive="1" name="連線281" type="5" refreshedVersion="0" background="1">
    <dbPr connection="Provider=Microsoft.Mashup.OleDb.1;Data Source=$Workbook$;Location=&quot;Table_2912_113_02&quot;;Extended Properties=&quot;&quot;" commandType="0"/>
  </connection>
  <connection id="1836" xr16:uid="{C1A24BF0-0C85-45D6-9269-4C9B7CEDA732}" keepAlive="1" name="連線282" type="5" refreshedVersion="0" background="1">
    <dbPr connection="Provider=Microsoft.Mashup.OleDb.1;Data Source=$Workbook$;Location=&quot;Table_2912_113_01&quot;;Extended Properties=&quot;&quot;" commandType="0"/>
  </connection>
  <connection id="1837" xr16:uid="{BC33C0CD-1944-49FB-A96D-97E665F30175}" keepAlive="1" name="連線283" type="5" refreshedVersion="0" background="1">
    <dbPr connection="Provider=Microsoft.Mashup.OleDb.1;Data Source=$Workbook$;Location=&quot;Table_2002_113_03&quot;;Extended Properties=&quot;&quot;" commandType="0"/>
  </connection>
  <connection id="1838" xr16:uid="{CC1E6A70-F4FD-4D1D-9B4F-5414FFCD62F0}" keepAlive="1" name="連線284" type="5" refreshedVersion="0" background="1">
    <dbPr connection="Provider=Microsoft.Mashup.OleDb.1;Data Source=$Workbook$;Location=&quot;Table_2002_113_02&quot;;Extended Properties=&quot;&quot;" commandType="0"/>
  </connection>
  <connection id="1839" xr16:uid="{2B5E0F37-AAD4-4833-97CA-173A0D3BACF4}" keepAlive="1" name="連線285" type="5" refreshedVersion="0" background="1">
    <dbPr connection="Provider=Microsoft.Mashup.OleDb.1;Data Source=$Workbook$;Location=&quot;Table_2002_113_01&quot;;Extended Properties=&quot;&quot;" commandType="0"/>
  </connection>
  <connection id="1840" xr16:uid="{B01070B0-B91A-4999-8B5F-64CB03AD5924}" keepAlive="1" name="連線286" type="5" refreshedVersion="0" background="1">
    <dbPr connection="Provider=Microsoft.Mashup.OleDb.1;Data Source=$Workbook$;Location=&quot;Table_2882_113_03&quot;;Extended Properties=&quot;&quot;" commandType="0"/>
  </connection>
  <connection id="1841" xr16:uid="{8D2AAC69-9085-408B-AE6C-CC79903F7CE6}" keepAlive="1" name="連線287" type="5" refreshedVersion="0" background="1">
    <dbPr connection="Provider=Microsoft.Mashup.OleDb.1;Data Source=$Workbook$;Location=&quot;Table_2882_113_02&quot;;Extended Properties=&quot;&quot;" commandType="0"/>
  </connection>
  <connection id="1842" xr16:uid="{3C6893EC-C343-4844-8E44-B464ACC52943}" keepAlive="1" name="連線288" type="5" refreshedVersion="0" background="1">
    <dbPr connection="Provider=Microsoft.Mashup.OleDb.1;Data Source=$Workbook$;Location=&quot;Table_2882_113_01&quot;;Extended Properties=&quot;&quot;" commandType="0"/>
  </connection>
  <connection id="1843" xr16:uid="{D00A544F-8898-41CF-A11C-8935C84E061A}" keepAlive="1" name="連線289" type="5" refreshedVersion="0" background="1">
    <dbPr connection="Provider=Microsoft.Mashup.OleDb.1;Data Source=$Workbook$;Location=&quot;Table_2330_113_03&quot;;Extended Properties=&quot;&quot;" commandType="0"/>
  </connection>
  <connection id="1844" xr16:uid="{9DAD234D-9FFC-4D99-84DE-1CD1DA7794EA}" keepAlive="1" name="連線29" type="5" refreshedVersion="0" background="1">
    <dbPr connection="Provider=Microsoft.Mashup.OleDb.1;Data Source=$Workbook$;Location=&quot;Table 7&quot;;Extended Properties=&quot;&quot;" commandType="0"/>
  </connection>
  <connection id="1845" xr16:uid="{3B99BD10-3D65-4458-AFB7-C90B01498640}" keepAlive="1" name="連線290" type="5" refreshedVersion="0" background="1">
    <dbPr connection="Provider=Microsoft.Mashup.OleDb.1;Data Source=$Workbook$;Location=&quot;Table_2330_113_02&quot;;Extended Properties=&quot;&quot;" commandType="0"/>
  </connection>
  <connection id="1846" xr16:uid="{3D02A45A-6F15-4F79-B7D3-4D8A02E4F0EC}" keepAlive="1" name="連線291" type="5" refreshedVersion="0" background="1">
    <dbPr connection="Provider=Microsoft.Mashup.OleDb.1;Data Source=$Workbook$;Location=&quot;Table_2330_113_01&quot;;Extended Properties=&quot;&quot;" commandType="0"/>
  </connection>
  <connection id="1847" xr16:uid="{D2833EA3-B356-4D57-AF8D-22F0519F341D}" keepAlive="1" name="連線292" type="5" refreshedVersion="0" background="1">
    <dbPr connection="Provider=Microsoft.Mashup.OleDb.1;Data Source=$Workbook$;Location=&quot;Table_1101_113_03&quot;;Extended Properties=&quot;&quot;" commandType="0"/>
  </connection>
  <connection id="1848" xr16:uid="{93A9083F-2809-4DD3-8B54-9FA83523DCA5}" keepAlive="1" name="連線293" type="5" refreshedVersion="0" background="1">
    <dbPr connection="Provider=Microsoft.Mashup.OleDb.1;Data Source=$Workbook$;Location=&quot;Table_1101_113_02&quot;;Extended Properties=&quot;&quot;" commandType="0"/>
  </connection>
  <connection id="1849" xr16:uid="{8C35C8E5-1808-4905-936A-B99E21A97A70}" keepAlive="1" name="連線294" type="5" refreshedVersion="0" background="1">
    <dbPr connection="Provider=Microsoft.Mashup.OleDb.1;Data Source=$Workbook$;Location=&quot;Table_1101_113_01&quot;;Extended Properties=&quot;&quot;" commandType="0"/>
  </connection>
  <connection id="1850" xr16:uid="{0477A41C-E342-4D55-B4AC-3BB1503A8AAE}" keepAlive="1" name="連線295" type="5" refreshedVersion="0" background="1">
    <dbPr connection="Provider=Microsoft.Mashup.OleDb.1;Data Source=$Workbook$;Location=&quot;Table_2912_113_03&quot;;Extended Properties=&quot;&quot;" commandType="0"/>
  </connection>
  <connection id="1851" xr16:uid="{6E659ECB-0A68-41F1-A3A5-519618D8D435}" keepAlive="1" name="連線296" type="5" refreshedVersion="0" background="1">
    <dbPr connection="Provider=Microsoft.Mashup.OleDb.1;Data Source=$Workbook$;Location=&quot;Table_2912_113_02&quot;;Extended Properties=&quot;&quot;" commandType="0"/>
  </connection>
  <connection id="1852" xr16:uid="{FA04A17A-C00C-4E98-80E8-57D63CC439B8}" keepAlive="1" name="連線297" type="5" refreshedVersion="0" background="1">
    <dbPr connection="Provider=Microsoft.Mashup.OleDb.1;Data Source=$Workbook$;Location=&quot;Table_2912_113_01&quot;;Extended Properties=&quot;&quot;" commandType="0"/>
  </connection>
  <connection id="1853" xr16:uid="{46663384-8C16-43E4-AEFE-28C3D4D51BA8}" keepAlive="1" name="連線298" type="5" refreshedVersion="0" background="1">
    <dbPr connection="Provider=Microsoft.Mashup.OleDb.1;Data Source=$Workbook$;Location=&quot;Table_2002_113_03&quot;;Extended Properties=&quot;&quot;" commandType="0"/>
  </connection>
  <connection id="1854" xr16:uid="{A0F77919-9CA6-4AC6-B78A-76A5BB5344D4}" keepAlive="1" name="連線299" type="5" refreshedVersion="0" background="1">
    <dbPr connection="Provider=Microsoft.Mashup.OleDb.1;Data Source=$Workbook$;Location=&quot;Table_2002_113_02&quot;;Extended Properties=&quot;&quot;" commandType="0"/>
  </connection>
  <connection id="1855" xr16:uid="{51273F4C-C2B6-459D-A534-CDB27BD66980}" keepAlive="1" name="連線3" type="5" refreshedVersion="0" background="1">
    <dbPr connection="Provider=Microsoft.Mashup.OleDb.1;Data Source=$Workbook$;Location=&quot;Table 6&quot;;Extended Properties=&quot;&quot;" commandType="0"/>
  </connection>
  <connection id="1856" xr16:uid="{BDEC73DB-5AC5-4672-B662-79D63FD50225}" keepAlive="1" name="連線30" type="5" refreshedVersion="0" background="1">
    <dbPr connection="Provider=Microsoft.Mashup.OleDb.1;Data Source=$Workbook$;Location=&quot;Table 3&quot;;Extended Properties=&quot;&quot;" commandType="0"/>
  </connection>
  <connection id="1857" xr16:uid="{4065829C-C2D0-4C01-AF50-AA966CF9D642}" keepAlive="1" name="連線300" type="5" refreshedVersion="0" background="1">
    <dbPr connection="Provider=Microsoft.Mashup.OleDb.1;Data Source=$Workbook$;Location=&quot;Table_2002_113_01&quot;;Extended Properties=&quot;&quot;" commandType="0"/>
  </connection>
  <connection id="1858" xr16:uid="{50BC7F66-3688-408C-8C19-1FBD714EA2FE}" keepAlive="1" name="連線301" type="5" refreshedVersion="0" background="1">
    <dbPr connection="Provider=Microsoft.Mashup.OleDb.1;Data Source=$Workbook$;Location=&quot;Table_2882_113_03&quot;;Extended Properties=&quot;&quot;" commandType="0"/>
  </connection>
  <connection id="1859" xr16:uid="{1F51A928-B53D-431F-92A9-9EFB572994D3}" keepAlive="1" name="連線302" type="5" refreshedVersion="0" background="1">
    <dbPr connection="Provider=Microsoft.Mashup.OleDb.1;Data Source=$Workbook$;Location=&quot;Table_2882_113_02&quot;;Extended Properties=&quot;&quot;" commandType="0"/>
  </connection>
  <connection id="1860" xr16:uid="{F22024B9-3231-4B2E-9A9A-E93EF7A940F2}" keepAlive="1" name="連線303" type="5" refreshedVersion="0" background="1">
    <dbPr connection="Provider=Microsoft.Mashup.OleDb.1;Data Source=$Workbook$;Location=&quot;Table_2882_113_01&quot;;Extended Properties=&quot;&quot;" commandType="0"/>
  </connection>
  <connection id="1861" xr16:uid="{2636B539-7555-4D1D-836B-5D123D2AE30E}" keepAlive="1" name="連線304" type="5" refreshedVersion="0" background="1">
    <dbPr connection="Provider=Microsoft.Mashup.OleDb.1;Data Source=$Workbook$;Location=&quot;Table_2330_113_03&quot;;Extended Properties=&quot;&quot;" commandType="0"/>
  </connection>
  <connection id="1862" xr16:uid="{893E4C64-A524-4A5F-932F-005EBD52BB0E}" keepAlive="1" name="連線305" type="5" refreshedVersion="0" background="1">
    <dbPr connection="Provider=Microsoft.Mashup.OleDb.1;Data Source=$Workbook$;Location=&quot;Table_2330_113_02&quot;;Extended Properties=&quot;&quot;" commandType="0"/>
  </connection>
  <connection id="1863" xr16:uid="{EB22DE7A-6657-4643-9FA1-D9C40A79CAD8}" keepAlive="1" name="連線306" type="5" refreshedVersion="0" background="1">
    <dbPr connection="Provider=Microsoft.Mashup.OleDb.1;Data Source=$Workbook$;Location=&quot;Table_2330_113_01&quot;;Extended Properties=&quot;&quot;" commandType="0"/>
  </connection>
  <connection id="1864" xr16:uid="{D476F940-F928-4795-A599-98963C88FA8F}" keepAlive="1" name="連線307" type="5" refreshedVersion="0" background="1">
    <dbPr connection="Provider=Microsoft.Mashup.OleDb.1;Data Source=$Workbook$;Location=&quot;Table_1101_113_03&quot;;Extended Properties=&quot;&quot;" commandType="0"/>
  </connection>
  <connection id="1865" xr16:uid="{52C77654-C4A1-4BEF-9957-87782070E79D}" keepAlive="1" name="連線308" type="5" refreshedVersion="0" background="1">
    <dbPr connection="Provider=Microsoft.Mashup.OleDb.1;Data Source=$Workbook$;Location=&quot;Table_1101_113_02&quot;;Extended Properties=&quot;&quot;" commandType="0"/>
  </connection>
  <connection id="1866" xr16:uid="{27FAF81F-B09E-407A-B0FA-7418CB31EB14}" keepAlive="1" name="連線309" type="5" refreshedVersion="0" background="1">
    <dbPr connection="Provider=Microsoft.Mashup.OleDb.1;Data Source=$Workbook$;Location=&quot;Table_1101_113_01&quot;;Extended Properties=&quot;&quot;" commandType="0"/>
  </connection>
  <connection id="1867" xr16:uid="{897BDBFF-13B5-442C-840E-ED8AB5A56D4C}" keepAlive="1" name="連線31" type="5" refreshedVersion="0" background="1">
    <dbPr connection="Provider=Microsoft.Mashup.OleDb.1;Data Source=$Workbook$;Location=&quot;Table 4&quot;;Extended Properties=&quot;&quot;" commandType="0"/>
  </connection>
  <connection id="1868" xr16:uid="{C3065069-99A7-4535-BBF2-6EC1D56925F2}" keepAlive="1" name="連線310" type="5" refreshedVersion="0" background="1">
    <dbPr connection="Provider=Microsoft.Mashup.OleDb.1;Data Source=$Workbook$;Location=&quot;Table_2912_113_03&quot;;Extended Properties=&quot;&quot;" commandType="0"/>
  </connection>
  <connection id="1869" xr16:uid="{A0497BB3-A94E-4AF7-82C8-2246511E2DC3}" keepAlive="1" name="連線311" type="5" refreshedVersion="0" background="1">
    <dbPr connection="Provider=Microsoft.Mashup.OleDb.1;Data Source=$Workbook$;Location=&quot;Table_2912_113_02&quot;;Extended Properties=&quot;&quot;" commandType="0"/>
  </connection>
  <connection id="1870" xr16:uid="{660A75DB-990A-4CE8-A2AC-00AEB95AB09E}" keepAlive="1" name="連線312" type="5" refreshedVersion="0" background="1">
    <dbPr connection="Provider=Microsoft.Mashup.OleDb.1;Data Source=$Workbook$;Location=&quot;Table_2912_113_01&quot;;Extended Properties=&quot;&quot;" commandType="0"/>
  </connection>
  <connection id="1871" xr16:uid="{1113F9D3-A58E-472F-BF91-4C9014BDAE8D}" keepAlive="1" name="連線313" type="5" refreshedVersion="0" background="1">
    <dbPr connection="Provider=Microsoft.Mashup.OleDb.1;Data Source=$Workbook$;Location=&quot;Table_2002_113_03&quot;;Extended Properties=&quot;&quot;" commandType="0"/>
  </connection>
  <connection id="1872" xr16:uid="{2B83C2AF-CD8B-4AE3-BFA6-FD734D574256}" keepAlive="1" name="連線314" type="5" refreshedVersion="0" background="1">
    <dbPr connection="Provider=Microsoft.Mashup.OleDb.1;Data Source=$Workbook$;Location=&quot;Table_2002_113_02&quot;;Extended Properties=&quot;&quot;" commandType="0"/>
  </connection>
  <connection id="1873" xr16:uid="{8EE95A0B-C3D7-4048-82B8-1C1F88D4E5D8}" keepAlive="1" name="連線315" type="5" refreshedVersion="0" background="1">
    <dbPr connection="Provider=Microsoft.Mashup.OleDb.1;Data Source=$Workbook$;Location=&quot;Table_2002_113_01&quot;;Extended Properties=&quot;&quot;" commandType="0"/>
  </connection>
  <connection id="1874" xr16:uid="{7CD4B5AF-85A4-4CB9-A7AB-ABDE03D60806}" keepAlive="1" name="連線316" type="5" refreshedVersion="0" background="1">
    <dbPr connection="Provider=Microsoft.Mashup.OleDb.1;Data Source=$Workbook$;Location=&quot;Table_2882_113_03&quot;;Extended Properties=&quot;&quot;" commandType="0"/>
  </connection>
  <connection id="1875" xr16:uid="{6444A445-58FF-48E0-AA7F-C4C656142476}" keepAlive="1" name="連線317" type="5" refreshedVersion="0" background="1">
    <dbPr connection="Provider=Microsoft.Mashup.OleDb.1;Data Source=$Workbook$;Location=&quot;Table_2882_113_02&quot;;Extended Properties=&quot;&quot;" commandType="0"/>
  </connection>
  <connection id="1876" xr16:uid="{CA497487-B0F5-44D5-8A2C-5212B88E6BD9}" keepAlive="1" name="連線318" type="5" refreshedVersion="0" background="1">
    <dbPr connection="Provider=Microsoft.Mashup.OleDb.1;Data Source=$Workbook$;Location=&quot;Table_2882_113_01&quot;;Extended Properties=&quot;&quot;" commandType="0"/>
  </connection>
  <connection id="1877" xr16:uid="{9C2B0E9F-9AF5-4F07-A7A8-E66BDFDE6738}" keepAlive="1" name="連線319" type="5" refreshedVersion="0" background="1">
    <dbPr connection="Provider=Microsoft.Mashup.OleDb.1;Data Source=$Workbook$;Location=&quot;Table_2330_113_03&quot;;Extended Properties=&quot;&quot;" commandType="0"/>
  </connection>
  <connection id="1878" xr16:uid="{A7ECF93C-7904-4748-8F23-D67B74EB43A9}" keepAlive="1" name="連線32" type="5" refreshedVersion="0" background="1">
    <dbPr connection="Provider=Microsoft.Mashup.OleDb.1;Data Source=$Workbook$;Location=&quot;Table 5&quot;;Extended Properties=&quot;&quot;" commandType="0"/>
  </connection>
  <connection id="1879" xr16:uid="{D5E62119-5B5A-4280-915E-7A1857C20651}" keepAlive="1" name="連線320" type="5" refreshedVersion="0" background="1">
    <dbPr connection="Provider=Microsoft.Mashup.OleDb.1;Data Source=$Workbook$;Location=&quot;Table_2330_113_02&quot;;Extended Properties=&quot;&quot;" commandType="0"/>
  </connection>
  <connection id="1880" xr16:uid="{B7550DA5-A5F1-40D7-A3EA-13AFD2A616CE}" keepAlive="1" name="連線321" type="5" refreshedVersion="0" background="1">
    <dbPr connection="Provider=Microsoft.Mashup.OleDb.1;Data Source=$Workbook$;Location=&quot;Table_2330_113_01&quot;;Extended Properties=&quot;&quot;" commandType="0"/>
  </connection>
  <connection id="1881" xr16:uid="{142375A7-3654-44A8-B846-73D74DC73CA5}" keepAlive="1" name="連線322" type="5" refreshedVersion="0" background="1">
    <dbPr connection="Provider=Microsoft.Mashup.OleDb.1;Data Source=$Workbook$;Location=&quot;Table_1101_113_03&quot;;Extended Properties=&quot;&quot;" commandType="0"/>
  </connection>
  <connection id="1882" xr16:uid="{878CE40F-35D1-410D-8EED-6880809F3625}" keepAlive="1" name="連線323" type="5" refreshedVersion="0" background="1">
    <dbPr connection="Provider=Microsoft.Mashup.OleDb.1;Data Source=$Workbook$;Location=&quot;Table_1101_113_02&quot;;Extended Properties=&quot;&quot;" commandType="0"/>
  </connection>
  <connection id="1883" xr16:uid="{12C97E14-63EE-4A87-B9C2-8EEE01C7882F}" keepAlive="1" name="連線324" type="5" refreshedVersion="0" background="1">
    <dbPr connection="Provider=Microsoft.Mashup.OleDb.1;Data Source=$Workbook$;Location=&quot;Table_1101_113_01&quot;;Extended Properties=&quot;&quot;" commandType="0"/>
  </connection>
  <connection id="1884" xr16:uid="{1A452753-911F-4B37-A21D-A3D668821709}" keepAlive="1" name="連線325" type="5" refreshedVersion="0" background="1">
    <dbPr connection="Provider=Microsoft.Mashup.OleDb.1;Data Source=$Workbook$;Location=&quot;Table_2912_113_03&quot;;Extended Properties=&quot;&quot;" commandType="0"/>
  </connection>
  <connection id="1885" xr16:uid="{2CB984EE-7107-43E6-AF5F-D5EDC03C5950}" keepAlive="1" name="連線326" type="5" refreshedVersion="0" background="1">
    <dbPr connection="Provider=Microsoft.Mashup.OleDb.1;Data Source=$Workbook$;Location=&quot;Table_2912_113_02&quot;;Extended Properties=&quot;&quot;" commandType="0"/>
  </connection>
  <connection id="1886" xr16:uid="{70B39ED9-B46A-4D78-BF3B-72F20247B124}" keepAlive="1" name="連線327" type="5" refreshedVersion="0" background="1">
    <dbPr connection="Provider=Microsoft.Mashup.OleDb.1;Data Source=$Workbook$;Location=&quot;Table_2912_113_01&quot;;Extended Properties=&quot;&quot;" commandType="0"/>
  </connection>
  <connection id="1887" xr16:uid="{94E9D16E-372A-49AC-AE1D-AEED47C348B6}" keepAlive="1" name="連線328" type="5" refreshedVersion="0" background="1">
    <dbPr connection="Provider=Microsoft.Mashup.OleDb.1;Data Source=$Workbook$;Location=&quot;Table_2002_113_03&quot;;Extended Properties=&quot;&quot;" commandType="0"/>
  </connection>
  <connection id="1888" xr16:uid="{3F92C784-65A4-4C0B-A87D-971C3A13D465}" keepAlive="1" name="連線329" type="5" refreshedVersion="0" background="1">
    <dbPr connection="Provider=Microsoft.Mashup.OleDb.1;Data Source=$Workbook$;Location=&quot;Table_2002_113_02&quot;;Extended Properties=&quot;&quot;" commandType="0"/>
  </connection>
  <connection id="1889" xr16:uid="{E2F5AC37-5822-4C4B-84B7-2D4B78F6963E}" keepAlive="1" name="連線33" type="5" refreshedVersion="0" background="1">
    <dbPr connection="Provider=Microsoft.Mashup.OleDb.1;Data Source=$Workbook$;Location=&quot;Table 6&quot;;Extended Properties=&quot;&quot;" commandType="0"/>
  </connection>
  <connection id="1890" xr16:uid="{80B205E8-2F21-40ED-8CFB-A20A18860860}" keepAlive="1" name="連線330" type="5" refreshedVersion="0" background="1">
    <dbPr connection="Provider=Microsoft.Mashup.OleDb.1;Data Source=$Workbook$;Location=&quot;Table_2002_113_01&quot;;Extended Properties=&quot;&quot;" commandType="0"/>
  </connection>
  <connection id="1891" xr16:uid="{939C7F0C-E721-4D17-B9C7-4A0B17D4BFFD}" keepAlive="1" name="連線331" type="5" refreshedVersion="0" background="1">
    <dbPr connection="Provider=Microsoft.Mashup.OleDb.1;Data Source=$Workbook$;Location=&quot;Table_2882_113_03&quot;;Extended Properties=&quot;&quot;" commandType="0"/>
  </connection>
  <connection id="1892" xr16:uid="{F8E987F2-48EA-4748-B8D3-000CECA199F9}" keepAlive="1" name="連線332" type="5" refreshedVersion="0" background="1">
    <dbPr connection="Provider=Microsoft.Mashup.OleDb.1;Data Source=$Workbook$;Location=&quot;Table_2882_113_02&quot;;Extended Properties=&quot;&quot;" commandType="0"/>
  </connection>
  <connection id="1893" xr16:uid="{2A832A6B-6898-4E98-87EA-D1CC5F29FEE9}" keepAlive="1" name="連線333" type="5" refreshedVersion="0" background="1">
    <dbPr connection="Provider=Microsoft.Mashup.OleDb.1;Data Source=$Workbook$;Location=&quot;Table_2882_113_01&quot;;Extended Properties=&quot;&quot;" commandType="0"/>
  </connection>
  <connection id="1894" xr16:uid="{F4A633C9-A9F4-403E-AC68-B68FC44EC245}" keepAlive="1" name="連線334" type="5" refreshedVersion="0" background="1">
    <dbPr connection="Provider=Microsoft.Mashup.OleDb.1;Data Source=$Workbook$;Location=&quot;Table_2330_113_03&quot;;Extended Properties=&quot;&quot;" commandType="0"/>
  </connection>
  <connection id="1895" xr16:uid="{C3593B60-50D7-472E-BA96-13E822336C9E}" keepAlive="1" name="連線335" type="5" refreshedVersion="7" background="1" saveData="1">
    <dbPr connection="Provider=Microsoft.Mashup.OleDb.1;Data Source=$Workbook$;Location=&quot;Table_2330_113_02&quot;;Extended Properties=&quot;&quot;" command="SELECT * FROM [Table_2330_113_02]"/>
  </connection>
  <connection id="1896" xr16:uid="{70DBE197-DC35-4A15-8945-618CD4597AA2}" keepAlive="1" name="連線336" type="5" refreshedVersion="0" background="1">
    <dbPr connection="Provider=Microsoft.Mashup.OleDb.1;Data Source=$Workbook$;Location=&quot;Table_2330_113_01&quot;;Extended Properties=&quot;&quot;" commandType="0"/>
  </connection>
  <connection id="1897" xr16:uid="{7590E48B-A27D-4964-89C3-B47D0A44F203}" keepAlive="1" name="連線337" type="5" refreshedVersion="0" background="1">
    <dbPr connection="Provider=Microsoft.Mashup.OleDb.1;Data Source=$Workbook$;Location=&quot;Table_1101_113_03&quot;;Extended Properties=&quot;&quot;" commandType="0"/>
  </connection>
  <connection id="1898" xr16:uid="{6C83E3F3-A40F-4E82-A8A0-3032EBD5CAF6}" keepAlive="1" name="連線338" type="5" refreshedVersion="0" background="1">
    <dbPr connection="Provider=Microsoft.Mashup.OleDb.1;Data Source=$Workbook$;Location=&quot;Table_1101_113_02&quot;;Extended Properties=&quot;&quot;" commandType="0"/>
  </connection>
  <connection id="1899" xr16:uid="{510C9BD2-BC14-4277-8660-7DE6A391025B}" keepAlive="1" name="連線339" type="5" refreshedVersion="0" background="1">
    <dbPr connection="Provider=Microsoft.Mashup.OleDb.1;Data Source=$Workbook$;Location=&quot;Table_1101_113_01&quot;;Extended Properties=&quot;&quot;" commandType="0"/>
  </connection>
  <connection id="1900" xr16:uid="{5B205BB3-253F-46FA-A3D0-2B05BA0B2BF1}" keepAlive="1" name="連線34" type="5" refreshedVersion="0" background="1">
    <dbPr connection="Provider=Microsoft.Mashup.OleDb.1;Data Source=$Workbook$;Location=&quot;Table 7&quot;;Extended Properties=&quot;&quot;" commandType="0"/>
  </connection>
  <connection id="1901" xr16:uid="{B28243C3-3DE9-4B05-A4A6-5665A9DDF365}" keepAlive="1" name="連線340" type="5" refreshedVersion="0" background="1">
    <dbPr connection="Provider=Microsoft.Mashup.OleDb.1;Data Source=$Workbook$;Location=&quot;Table_2912_113_03&quot;;Extended Properties=&quot;&quot;" commandType="0"/>
  </connection>
  <connection id="1902" xr16:uid="{7226D43C-CAFD-42E6-9932-9A3CEB1A6421}" keepAlive="1" name="連線341" type="5" refreshedVersion="0" background="1">
    <dbPr connection="Provider=Microsoft.Mashup.OleDb.1;Data Source=$Workbook$;Location=&quot;Table_2912_113_02&quot;;Extended Properties=&quot;&quot;" commandType="0"/>
  </connection>
  <connection id="1903" xr16:uid="{28AEAFF7-0FA8-47DA-BFA0-269C8325265B}" keepAlive="1" name="連線342" type="5" refreshedVersion="0" background="1">
    <dbPr connection="Provider=Microsoft.Mashup.OleDb.1;Data Source=$Workbook$;Location=&quot;Table_2912_113_01&quot;;Extended Properties=&quot;&quot;" commandType="0"/>
  </connection>
  <connection id="1904" xr16:uid="{C012012C-7884-45EF-A3EA-2A5C2E7D8305}" keepAlive="1" name="連線343" type="5" refreshedVersion="0" background="1">
    <dbPr connection="Provider=Microsoft.Mashup.OleDb.1;Data Source=$Workbook$;Location=&quot;Table_2002_113_03&quot;;Extended Properties=&quot;&quot;" commandType="0"/>
  </connection>
  <connection id="1905" xr16:uid="{A3954281-AE94-4145-9B5B-6B574634EEA4}" keepAlive="1" name="連線344" type="5" refreshedVersion="0" background="1">
    <dbPr connection="Provider=Microsoft.Mashup.OleDb.1;Data Source=$Workbook$;Location=&quot;Table_2002_113_02&quot;;Extended Properties=&quot;&quot;" commandType="0"/>
  </connection>
  <connection id="1906" xr16:uid="{8E743B96-C07D-4D30-A4C2-49F6D7B044E0}" keepAlive="1" name="連線345" type="5" refreshedVersion="0" background="1">
    <dbPr connection="Provider=Microsoft.Mashup.OleDb.1;Data Source=$Workbook$;Location=&quot;Table_2002_113_01&quot;;Extended Properties=&quot;&quot;" commandType="0"/>
  </connection>
  <connection id="1907" xr16:uid="{78636A0A-7664-4362-8C5E-A679300F5822}" keepAlive="1" name="連線346" type="5" refreshedVersion="0" background="1">
    <dbPr connection="Provider=Microsoft.Mashup.OleDb.1;Data Source=$Workbook$;Location=&quot;Table_2882_113_03&quot;;Extended Properties=&quot;&quot;" commandType="0"/>
  </connection>
  <connection id="1908" xr16:uid="{BA72FC7E-9D9E-491A-8978-935F663E08E0}" keepAlive="1" name="連線347" type="5" refreshedVersion="0" background="1">
    <dbPr connection="Provider=Microsoft.Mashup.OleDb.1;Data Source=$Workbook$;Location=&quot;Table_2882_113_02&quot;;Extended Properties=&quot;&quot;" commandType="0"/>
  </connection>
  <connection id="1909" xr16:uid="{9B400C1A-473B-481D-88FE-DA3F6E32BB01}" keepAlive="1" name="連線348" type="5" refreshedVersion="0" background="1">
    <dbPr connection="Provider=Microsoft.Mashup.OleDb.1;Data Source=$Workbook$;Location=&quot;Table_2882_113_01&quot;;Extended Properties=&quot;&quot;" commandType="0"/>
  </connection>
  <connection id="1910" xr16:uid="{283D45AA-479B-48AB-8E94-EF79BD6B41F1}" keepAlive="1" name="連線349" type="5" refreshedVersion="0" background="1">
    <dbPr connection="Provider=Microsoft.Mashup.OleDb.1;Data Source=$Workbook$;Location=&quot;Table_2330_113_03&quot;;Extended Properties=&quot;&quot;" commandType="0"/>
  </connection>
  <connection id="1911" xr16:uid="{9ED79116-FDCE-4EBA-84CF-02F6CBAE8A23}" keepAlive="1" name="連線35" type="5" refreshedVersion="0" background="1">
    <dbPr connection="Provider=Microsoft.Mashup.OleDb.1;Data Source=$Workbook$;Location=&quot;Table 1&quot;;Extended Properties=&quot;&quot;" commandType="0"/>
  </connection>
  <connection id="1912" xr16:uid="{ACFDDAFF-BBDA-45A4-AE5E-BBD5FCE765E4}" keepAlive="1" name="連線350" type="5" refreshedVersion="0" background="1">
    <dbPr connection="Provider=Microsoft.Mashup.OleDb.1;Data Source=$Workbook$;Location=&quot;Table_2330_113_02&quot;;Extended Properties=&quot;&quot;" commandType="0"/>
  </connection>
  <connection id="1913" xr16:uid="{A95AA928-2658-41AA-B339-0E6E5D6FA2CB}" keepAlive="1" name="連線351" type="5" refreshedVersion="0" background="1">
    <dbPr connection="Provider=Microsoft.Mashup.OleDb.1;Data Source=$Workbook$;Location=&quot;Table_2330_113_01&quot;;Extended Properties=&quot;&quot;" commandType="0"/>
  </connection>
  <connection id="1914" xr16:uid="{49F4499B-39A2-4906-9CF1-944EBAAF1A59}" keepAlive="1" name="連線352" type="5" refreshedVersion="0" background="1">
    <dbPr connection="Provider=Microsoft.Mashup.OleDb.1;Data Source=$Workbook$;Location=&quot;Table_1101_113_03&quot;;Extended Properties=&quot;&quot;" commandType="0"/>
  </connection>
  <connection id="1915" xr16:uid="{2B6FD5D3-87BC-4044-AC0A-9FB94831F167}" keepAlive="1" name="連線353" type="5" refreshedVersion="0" background="1">
    <dbPr connection="Provider=Microsoft.Mashup.OleDb.1;Data Source=$Workbook$;Location=&quot;Table_1101_113_02&quot;;Extended Properties=&quot;&quot;" commandType="0"/>
  </connection>
  <connection id="1916" xr16:uid="{A7CC0C82-8C02-4D23-B569-C492517E5D1F}" keepAlive="1" name="連線354" type="5" refreshedVersion="0" background="1">
    <dbPr connection="Provider=Microsoft.Mashup.OleDb.1;Data Source=$Workbook$;Location=&quot;Table_1101_113_01&quot;;Extended Properties=&quot;&quot;" commandType="0"/>
  </connection>
  <connection id="1917" xr16:uid="{C52B9C30-92C9-4A45-B539-8FAA5A3DF4EA}" keepAlive="1" name="連線355" type="5" refreshedVersion="0" background="1">
    <dbPr connection="Provider=Microsoft.Mashup.OleDb.1;Data Source=$Workbook$;Location=&quot;Table_2912_113_03&quot;;Extended Properties=&quot;&quot;" commandType="0"/>
  </connection>
  <connection id="1918" xr16:uid="{57E9417C-2513-470E-B5FF-749FCAA6B2F7}" keepAlive="1" name="連線356" type="5" refreshedVersion="0" background="1">
    <dbPr connection="Provider=Microsoft.Mashup.OleDb.1;Data Source=$Workbook$;Location=&quot;Table_2912_113_02&quot;;Extended Properties=&quot;&quot;" commandType="0"/>
  </connection>
  <connection id="1919" xr16:uid="{9A244AF5-6B6A-48D9-8F21-53FAB21F4DC2}" keepAlive="1" name="連線357" type="5" refreshedVersion="0" background="1">
    <dbPr connection="Provider=Microsoft.Mashup.OleDb.1;Data Source=$Workbook$;Location=&quot;Table_2912_113_01&quot;;Extended Properties=&quot;&quot;" commandType="0"/>
  </connection>
  <connection id="1920" xr16:uid="{98250FE5-FA69-4406-977F-5C4603AD20C3}" keepAlive="1" name="連線358" type="5" refreshedVersion="0" background="1">
    <dbPr connection="Provider=Microsoft.Mashup.OleDb.1;Data Source=$Workbook$;Location=&quot;Table_2002_113_03&quot;;Extended Properties=&quot;&quot;" commandType="0"/>
  </connection>
  <connection id="1921" xr16:uid="{565BD355-AE0C-4433-A0CB-76227945703E}" keepAlive="1" name="連線359" type="5" refreshedVersion="0" background="1">
    <dbPr connection="Provider=Microsoft.Mashup.OleDb.1;Data Source=$Workbook$;Location=&quot;Table_2002_113_02&quot;;Extended Properties=&quot;&quot;" commandType="0"/>
  </connection>
  <connection id="1922" xr16:uid="{CABDA8A7-7B54-4266-823E-EFFC8729D27E}" keepAlive="1" name="連線36" type="5" refreshedVersion="7" background="1" saveData="1">
    <dbPr connection="Provider=Microsoft.Mashup.OleDb.1;Data Source=$Workbook$;Location=&quot;Table 3&quot;;Extended Properties=&quot;&quot;" command="SELECT * FROM [Table 3]"/>
  </connection>
  <connection id="1923" xr16:uid="{7A5156A7-BCF2-43CF-B726-95B774055540}" keepAlive="1" name="連線360" type="5" refreshedVersion="0" background="1">
    <dbPr connection="Provider=Microsoft.Mashup.OleDb.1;Data Source=$Workbook$;Location=&quot;Table_2002_113_01&quot;;Extended Properties=&quot;&quot;" commandType="0"/>
  </connection>
  <connection id="1924" xr16:uid="{3D02A211-844C-44CF-A18B-934C884908F6}" keepAlive="1" name="連線361" type="5" refreshedVersion="0" background="1">
    <dbPr connection="Provider=Microsoft.Mashup.OleDb.1;Data Source=$Workbook$;Location=&quot;Table_2882_113_03&quot;;Extended Properties=&quot;&quot;" commandType="0"/>
  </connection>
  <connection id="1925" xr16:uid="{F63FEB56-B539-4FC5-966C-706705DB405A}" keepAlive="1" name="連線362" type="5" refreshedVersion="0" background="1">
    <dbPr connection="Provider=Microsoft.Mashup.OleDb.1;Data Source=$Workbook$;Location=&quot;Table_2882_113_02&quot;;Extended Properties=&quot;&quot;" commandType="0"/>
  </connection>
  <connection id="1926" xr16:uid="{C0741CE6-C096-475C-B783-C10B24DF69C7}" keepAlive="1" name="連線363" type="5" refreshedVersion="0" background="1">
    <dbPr connection="Provider=Microsoft.Mashup.OleDb.1;Data Source=$Workbook$;Location=&quot;Table_2882_113_01&quot;;Extended Properties=&quot;&quot;" commandType="0"/>
  </connection>
  <connection id="1927" xr16:uid="{AD77BBA8-EC7B-4C0E-8EFD-ED85400EAE3C}" keepAlive="1" name="連線364" type="5" refreshedVersion="0" background="1">
    <dbPr connection="Provider=Microsoft.Mashup.OleDb.1;Data Source=$Workbook$;Location=&quot;Table_2330_113_03&quot;;Extended Properties=&quot;&quot;" commandType="0"/>
  </connection>
  <connection id="1928" xr16:uid="{C347952B-E86F-4888-871F-5D76515438A8}" keepAlive="1" name="連線365" type="5" refreshedVersion="0" background="1">
    <dbPr connection="Provider=Microsoft.Mashup.OleDb.1;Data Source=$Workbook$;Location=&quot;Table_2330_113_02&quot;;Extended Properties=&quot;&quot;" commandType="0"/>
  </connection>
  <connection id="1929" xr16:uid="{90925B1D-E489-437D-A301-7178FC909C20}" keepAlive="1" name="連線366" type="5" refreshedVersion="0" background="1">
    <dbPr connection="Provider=Microsoft.Mashup.OleDb.1;Data Source=$Workbook$;Location=&quot;Table_2330_113_01&quot;;Extended Properties=&quot;&quot;" commandType="0"/>
  </connection>
  <connection id="1930" xr16:uid="{CA1EE4C8-9BCC-4BCB-9F9B-819A66A68593}" keepAlive="1" name="連線367" type="5" refreshedVersion="0" background="1">
    <dbPr connection="Provider=Microsoft.Mashup.OleDb.1;Data Source=$Workbook$;Location=&quot;Table_1101_113_03&quot;;Extended Properties=&quot;&quot;" commandType="0"/>
  </connection>
  <connection id="1931" xr16:uid="{C2170405-BA37-419A-A568-23BF3EC05916}" keepAlive="1" name="連線368" type="5" refreshedVersion="0" background="1">
    <dbPr connection="Provider=Microsoft.Mashup.OleDb.1;Data Source=$Workbook$;Location=&quot;Table_1101_113_02&quot;;Extended Properties=&quot;&quot;" commandType="0"/>
  </connection>
  <connection id="1932" xr16:uid="{C7EA9E52-B1A3-4CFD-A662-99DAE00757B4}" keepAlive="1" name="連線369" type="5" refreshedVersion="0" background="1">
    <dbPr connection="Provider=Microsoft.Mashup.OleDb.1;Data Source=$Workbook$;Location=&quot;Table_1101_113_01&quot;;Extended Properties=&quot;&quot;" commandType="0"/>
  </connection>
  <connection id="1933" xr16:uid="{4F3D2620-173E-4416-8A49-C5D38A1D8A36}" keepAlive="1" name="連線37" type="5" refreshedVersion="7" background="1" saveData="1">
    <dbPr connection="Provider=Microsoft.Mashup.OleDb.1;Data Source=$Workbook$;Location=&quot;Table 4&quot;;Extended Properties=&quot;&quot;" command="SELECT * FROM [Table 4]"/>
  </connection>
  <connection id="1934" xr16:uid="{25AE3928-9389-4D68-AF64-5DCBE975649A}" keepAlive="1" name="連線370" type="5" refreshedVersion="0" background="1">
    <dbPr connection="Provider=Microsoft.Mashup.OleDb.1;Data Source=$Workbook$;Location=&quot;Table_2912_113_03&quot;;Extended Properties=&quot;&quot;" commandType="0"/>
  </connection>
  <connection id="1935" xr16:uid="{BF856E8E-6535-45AB-A48E-CE64070D6AD8}" keepAlive="1" name="連線371" type="5" refreshedVersion="0" background="1">
    <dbPr connection="Provider=Microsoft.Mashup.OleDb.1;Data Source=$Workbook$;Location=&quot;Table_2912_113_02&quot;;Extended Properties=&quot;&quot;" commandType="0"/>
  </connection>
  <connection id="1936" xr16:uid="{4621098D-821A-49AE-A1A1-13AF77D344D2}" keepAlive="1" name="連線372" type="5" refreshedVersion="0" background="1">
    <dbPr connection="Provider=Microsoft.Mashup.OleDb.1;Data Source=$Workbook$;Location=&quot;Table_2912_113_01&quot;;Extended Properties=&quot;&quot;" commandType="0"/>
  </connection>
  <connection id="1937" xr16:uid="{FCFB3DBF-4A82-4C3A-B8F1-0734793F2181}" keepAlive="1" name="連線373" type="5" refreshedVersion="0" background="1">
    <dbPr connection="Provider=Microsoft.Mashup.OleDb.1;Data Source=$Workbook$;Location=&quot;Table_2002_113_03&quot;;Extended Properties=&quot;&quot;" commandType="0"/>
  </connection>
  <connection id="1938" xr16:uid="{59A7FD46-9E35-4E8F-BDD6-7DE92DD590CB}" keepAlive="1" name="連線374" type="5" refreshedVersion="0" background="1">
    <dbPr connection="Provider=Microsoft.Mashup.OleDb.1;Data Source=$Workbook$;Location=&quot;Table_2002_113_02&quot;;Extended Properties=&quot;&quot;" commandType="0"/>
  </connection>
  <connection id="1939" xr16:uid="{423B0EC1-43E1-4B88-93EE-4BC6B3177D6C}" keepAlive="1" name="連線375" type="5" refreshedVersion="0" background="1">
    <dbPr connection="Provider=Microsoft.Mashup.OleDb.1;Data Source=$Workbook$;Location=&quot;Table_2002_113_01&quot;;Extended Properties=&quot;&quot;" commandType="0"/>
  </connection>
  <connection id="1940" xr16:uid="{C2E66683-F657-4B6D-89C3-9770BD031E5E}" keepAlive="1" name="連線376" type="5" refreshedVersion="0" background="1">
    <dbPr connection="Provider=Microsoft.Mashup.OleDb.1;Data Source=$Workbook$;Location=&quot;Table_2882_113_03&quot;;Extended Properties=&quot;&quot;" commandType="0"/>
  </connection>
  <connection id="1941" xr16:uid="{BCC52D7B-7B05-4BBE-935C-228D8CD77459}" keepAlive="1" name="連線377" type="5" refreshedVersion="0" background="1">
    <dbPr connection="Provider=Microsoft.Mashup.OleDb.1;Data Source=$Workbook$;Location=&quot;Table_2882_113_02&quot;;Extended Properties=&quot;&quot;" commandType="0"/>
  </connection>
  <connection id="1942" xr16:uid="{0F187707-4722-4544-B80A-011D61E5E36F}" keepAlive="1" name="連線378" type="5" refreshedVersion="0" background="1">
    <dbPr connection="Provider=Microsoft.Mashup.OleDb.1;Data Source=$Workbook$;Location=&quot;Table_2882_113_01&quot;;Extended Properties=&quot;&quot;" commandType="0"/>
  </connection>
  <connection id="1943" xr16:uid="{B855BDA8-D6A3-4063-BDDD-F778C1EEE202}" keepAlive="1" name="連線379" type="5" refreshedVersion="0" background="1">
    <dbPr connection="Provider=Microsoft.Mashup.OleDb.1;Data Source=$Workbook$;Location=&quot;Table_2330_113_03&quot;;Extended Properties=&quot;&quot;" commandType="0"/>
  </connection>
  <connection id="1944" xr16:uid="{F70E80CD-A1C4-4F75-BF59-BDE9C2040695}" keepAlive="1" name="連線38" type="5" refreshedVersion="7" background="1" saveData="1">
    <dbPr connection="Provider=Microsoft.Mashup.OleDb.1;Data Source=$Workbook$;Location=&quot;Table 5&quot;;Extended Properties=&quot;&quot;" command="SELECT * FROM [Table 5]"/>
  </connection>
  <connection id="1945" xr16:uid="{BEBC2E5F-7247-46F0-8562-1EDBF3DB0843}" keepAlive="1" name="連線380" type="5" refreshedVersion="0" background="1">
    <dbPr connection="Provider=Microsoft.Mashup.OleDb.1;Data Source=$Workbook$;Location=&quot;Table_2330_113_02&quot;;Extended Properties=&quot;&quot;" commandType="0"/>
  </connection>
  <connection id="1946" xr16:uid="{4A698735-386F-4EDF-B50D-F9BF470C8831}" keepAlive="1" name="連線381" type="5" refreshedVersion="0" background="1">
    <dbPr connection="Provider=Microsoft.Mashup.OleDb.1;Data Source=$Workbook$;Location=&quot;Table_2330_113_01&quot;;Extended Properties=&quot;&quot;" commandType="0"/>
  </connection>
  <connection id="1947" xr16:uid="{D226AB26-C74D-45A1-9C16-D006843B151B}" keepAlive="1" name="連線382" type="5" refreshedVersion="0" background="1">
    <dbPr connection="Provider=Microsoft.Mashup.OleDb.1;Data Source=$Workbook$;Location=&quot;Table_1101_113_03&quot;;Extended Properties=&quot;&quot;" commandType="0"/>
  </connection>
  <connection id="1948" xr16:uid="{89E8EBF3-38DA-43CB-BF57-F3016939ADF4}" keepAlive="1" name="連線383" type="5" refreshedVersion="0" background="1">
    <dbPr connection="Provider=Microsoft.Mashup.OleDb.1;Data Source=$Workbook$;Location=&quot;Table_1101_113_02&quot;;Extended Properties=&quot;&quot;" commandType="0"/>
  </connection>
  <connection id="1949" xr16:uid="{9557A07B-E286-4C8E-B91F-2624BC6C976D}" keepAlive="1" name="連線384" type="5" refreshedVersion="0" background="1">
    <dbPr connection="Provider=Microsoft.Mashup.OleDb.1;Data Source=$Workbook$;Location=&quot;Table_1101_113_01&quot;;Extended Properties=&quot;&quot;" commandType="0"/>
  </connection>
  <connection id="1950" xr16:uid="{E5C09816-276A-41A8-B130-18EC93B491ED}" keepAlive="1" name="連線385" type="5" refreshedVersion="0" background="1">
    <dbPr connection="Provider=Microsoft.Mashup.OleDb.1;Data Source=$Workbook$;Location=&quot;Table_2912_113_03&quot;;Extended Properties=&quot;&quot;" commandType="0"/>
  </connection>
  <connection id="1951" xr16:uid="{B3D68642-5C82-492C-9C35-077200404ECA}" keepAlive="1" name="連線386" type="5" refreshedVersion="0" background="1">
    <dbPr connection="Provider=Microsoft.Mashup.OleDb.1;Data Source=$Workbook$;Location=&quot;Table_2912_113_02&quot;;Extended Properties=&quot;&quot;" commandType="0"/>
  </connection>
  <connection id="1952" xr16:uid="{6969C08B-48ED-474C-A1B5-4CA084ADA386}" keepAlive="1" name="連線387" type="5" refreshedVersion="0" background="1">
    <dbPr connection="Provider=Microsoft.Mashup.OleDb.1;Data Source=$Workbook$;Location=&quot;Table_2912_113_01&quot;;Extended Properties=&quot;&quot;" commandType="0"/>
  </connection>
  <connection id="1953" xr16:uid="{BD989645-072F-4AEF-A0F2-8C92ECFCE13A}" keepAlive="1" name="連線388" type="5" refreshedVersion="0" background="1">
    <dbPr connection="Provider=Microsoft.Mashup.OleDb.1;Data Source=$Workbook$;Location=&quot;Table_2002_113_03&quot;;Extended Properties=&quot;&quot;" commandType="0"/>
  </connection>
  <connection id="1954" xr16:uid="{DF574F15-E384-49F6-B522-70B06182EDC7}" keepAlive="1" name="連線389" type="5" refreshedVersion="0" background="1">
    <dbPr connection="Provider=Microsoft.Mashup.OleDb.1;Data Source=$Workbook$;Location=&quot;Table_2002_113_02&quot;;Extended Properties=&quot;&quot;" commandType="0"/>
  </connection>
  <connection id="1955" xr16:uid="{968D9CAF-E8C8-49D3-AF39-A9404A07BFC8}" keepAlive="1" name="連線39" type="5" refreshedVersion="7" background="1" saveData="1">
    <dbPr connection="Provider=Microsoft.Mashup.OleDb.1;Data Source=$Workbook$;Location=&quot;Table 6&quot;;Extended Properties=&quot;&quot;" command="SELECT * FROM [Table 6]"/>
  </connection>
  <connection id="1956" xr16:uid="{A9F10A8E-4961-4EB5-B2E5-FAC756EC378C}" keepAlive="1" name="連線390" type="5" refreshedVersion="0" background="1">
    <dbPr connection="Provider=Microsoft.Mashup.OleDb.1;Data Source=$Workbook$;Location=&quot;Table_2002_113_01&quot;;Extended Properties=&quot;&quot;" commandType="0"/>
  </connection>
  <connection id="1957" xr16:uid="{8F1B9E65-9C2E-4CC2-9F0E-1C31C654A5D7}" keepAlive="1" name="連線391" type="5" refreshedVersion="0" background="1">
    <dbPr connection="Provider=Microsoft.Mashup.OleDb.1;Data Source=$Workbook$;Location=&quot;Table_2882_113_03&quot;;Extended Properties=&quot;&quot;" commandType="0"/>
  </connection>
  <connection id="1958" xr16:uid="{DB3A5FDC-E4A5-4853-8623-BEBE864ABDDA}" keepAlive="1" name="連線392" type="5" refreshedVersion="0" background="1">
    <dbPr connection="Provider=Microsoft.Mashup.OleDb.1;Data Source=$Workbook$;Location=&quot;Table_2882_113_02&quot;;Extended Properties=&quot;&quot;" commandType="0"/>
  </connection>
  <connection id="1959" xr16:uid="{9C6E9EDF-E8EB-4422-89B0-A482F58FFEC5}" keepAlive="1" name="連線393" type="5" refreshedVersion="0" background="1">
    <dbPr connection="Provider=Microsoft.Mashup.OleDb.1;Data Source=$Workbook$;Location=&quot;Table_2882_113_01&quot;;Extended Properties=&quot;&quot;" commandType="0"/>
  </connection>
  <connection id="1960" xr16:uid="{C15A7F38-C0D1-4D13-AFAF-0A2D464F3AC2}" keepAlive="1" name="連線394" type="5" refreshedVersion="0" background="1">
    <dbPr connection="Provider=Microsoft.Mashup.OleDb.1;Data Source=$Workbook$;Location=&quot;Table_2330_113_03&quot;;Extended Properties=&quot;&quot;" commandType="0"/>
  </connection>
  <connection id="1961" xr16:uid="{C9352345-4D8B-4743-BA41-BB4FF45677A0}" keepAlive="1" name="連線395" type="5" refreshedVersion="0" background="1">
    <dbPr connection="Provider=Microsoft.Mashup.OleDb.1;Data Source=$Workbook$;Location=&quot;Table_2330_113_02&quot;;Extended Properties=&quot;&quot;" commandType="0"/>
  </connection>
  <connection id="1962" xr16:uid="{02B3EF28-0990-458B-9519-A83B76FF13F9}" keepAlive="1" name="連線396" type="5" refreshedVersion="0" background="1">
    <dbPr connection="Provider=Microsoft.Mashup.OleDb.1;Data Source=$Workbook$;Location=&quot;Table_2330_113_01&quot;;Extended Properties=&quot;&quot;" commandType="0"/>
  </connection>
  <connection id="1963" xr16:uid="{C2297FD6-2735-4B8A-B234-458F5835DFF1}" keepAlive="1" name="連線397" type="5" refreshedVersion="0" background="1">
    <dbPr connection="Provider=Microsoft.Mashup.OleDb.1;Data Source=$Workbook$;Location=&quot;Table_1101_113_03&quot;;Extended Properties=&quot;&quot;" commandType="0"/>
  </connection>
  <connection id="1964" xr16:uid="{C6B67147-0494-4714-8539-553CF0F476FD}" keepAlive="1" name="連線398" type="5" refreshedVersion="0" background="1">
    <dbPr connection="Provider=Microsoft.Mashup.OleDb.1;Data Source=$Workbook$;Location=&quot;Table_1101_113_02&quot;;Extended Properties=&quot;&quot;" commandType="0"/>
  </connection>
  <connection id="1965" xr16:uid="{C5AE5CF6-6287-4835-B6C0-54E89C528141}" keepAlive="1" name="連線399" type="5" refreshedVersion="0" background="1">
    <dbPr connection="Provider=Microsoft.Mashup.OleDb.1;Data Source=$Workbook$;Location=&quot;Table_1101_113_01&quot;;Extended Properties=&quot;&quot;" commandType="0"/>
  </connection>
  <connection id="1966" xr16:uid="{043B7A38-66BA-4097-BAFA-39C351C0F04E}" keepAlive="1" name="連線4" type="5" refreshedVersion="0" background="1">
    <dbPr connection="Provider=Microsoft.Mashup.OleDb.1;Data Source=$Workbook$;Location=&quot;Table 7&quot;;Extended Properties=&quot;&quot;" commandType="0"/>
  </connection>
  <connection id="1967" xr16:uid="{197649F6-100C-447B-821E-666918E4A298}" keepAlive="1" name="連線40" type="5" refreshedVersion="7" background="1" saveData="1">
    <dbPr connection="Provider=Microsoft.Mashup.OleDb.1;Data Source=$Workbook$;Location=&quot;Table 7&quot;;Extended Properties=&quot;&quot;" command="SELECT * FROM [Table 7]"/>
  </connection>
  <connection id="1968" xr16:uid="{0AE3F3E2-089C-488E-93F3-604C4AAC2C79}" keepAlive="1" name="連線400" type="5" refreshedVersion="0" background="1">
    <dbPr connection="Provider=Microsoft.Mashup.OleDb.1;Data Source=$Workbook$;Location=&quot;Table_2912_113_03&quot;;Extended Properties=&quot;&quot;" commandType="0"/>
  </connection>
  <connection id="1969" xr16:uid="{DD212534-6644-43CE-9E51-74553CABED17}" keepAlive="1" name="連線401" type="5" refreshedVersion="0" background="1">
    <dbPr connection="Provider=Microsoft.Mashup.OleDb.1;Data Source=$Workbook$;Location=&quot;Table_2912_113_02&quot;;Extended Properties=&quot;&quot;" commandType="0"/>
  </connection>
  <connection id="1970" xr16:uid="{F4CC16E4-66B2-4CF6-8B71-F8A31A624F3F}" keepAlive="1" name="連線402" type="5" refreshedVersion="0" background="1">
    <dbPr connection="Provider=Microsoft.Mashup.OleDb.1;Data Source=$Workbook$;Location=&quot;Table_2912_113_01&quot;;Extended Properties=&quot;&quot;" commandType="0"/>
  </connection>
  <connection id="1971" xr16:uid="{B5E970DF-892B-47A5-B4C0-D73463B526AD}" keepAlive="1" name="連線403" type="5" refreshedVersion="0" background="1">
    <dbPr connection="Provider=Microsoft.Mashup.OleDb.1;Data Source=$Workbook$;Location=&quot;Table_2002_113_03&quot;;Extended Properties=&quot;&quot;" commandType="0"/>
  </connection>
  <connection id="1972" xr16:uid="{A294C37B-178D-46CA-8806-BC0707B9BD3A}" keepAlive="1" name="連線404" type="5" refreshedVersion="0" background="1">
    <dbPr connection="Provider=Microsoft.Mashup.OleDb.1;Data Source=$Workbook$;Location=&quot;Table_2002_113_02&quot;;Extended Properties=&quot;&quot;" commandType="0"/>
  </connection>
  <connection id="1973" xr16:uid="{4FB2574C-D0C4-4987-A19A-685A71DAC8ED}" keepAlive="1" name="連線405" type="5" refreshedVersion="0" background="1">
    <dbPr connection="Provider=Microsoft.Mashup.OleDb.1;Data Source=$Workbook$;Location=&quot;Table_2002_113_01&quot;;Extended Properties=&quot;&quot;" commandType="0"/>
  </connection>
  <connection id="1974" xr16:uid="{50E77B7C-D383-4F82-B5B0-90D55C736A4D}" keepAlive="1" name="連線406" type="5" refreshedVersion="0" background="1">
    <dbPr connection="Provider=Microsoft.Mashup.OleDb.1;Data Source=$Workbook$;Location=&quot;Table_2882_113_03&quot;;Extended Properties=&quot;&quot;" commandType="0"/>
  </connection>
  <connection id="1975" xr16:uid="{ED7F8344-57BF-42C4-80E6-B9EB15F45815}" keepAlive="1" name="連線407" type="5" refreshedVersion="0" background="1">
    <dbPr connection="Provider=Microsoft.Mashup.OleDb.1;Data Source=$Workbook$;Location=&quot;Table_2882_113_02&quot;;Extended Properties=&quot;&quot;" commandType="0"/>
  </connection>
  <connection id="1976" xr16:uid="{65AEC788-EEE0-4B32-ACD0-1D34E91798F3}" keepAlive="1" name="連線408" type="5" refreshedVersion="0" background="1">
    <dbPr connection="Provider=Microsoft.Mashup.OleDb.1;Data Source=$Workbook$;Location=&quot;Table_2882_113_01&quot;;Extended Properties=&quot;&quot;" commandType="0"/>
  </connection>
  <connection id="1977" xr16:uid="{843C8679-9305-4AA1-9D64-945521A6093C}" keepAlive="1" name="連線409" type="5" refreshedVersion="0" background="1">
    <dbPr connection="Provider=Microsoft.Mashup.OleDb.1;Data Source=$Workbook$;Location=&quot;Table_2330_113_03&quot;;Extended Properties=&quot;&quot;" commandType="0"/>
  </connection>
  <connection id="1978" xr16:uid="{4E4010D0-1304-4E9B-9A5B-6292A3222EE2}" keepAlive="1" name="連線41" type="5" refreshedVersion="0" background="1">
    <dbPr connection="Provider=Microsoft.Mashup.OleDb.1;Data Source=$Workbook$;Location=&quot;Table 3&quot;;Extended Properties=&quot;&quot;" commandType="0"/>
  </connection>
  <connection id="1979" xr16:uid="{2C6D700E-9C89-4F03-B72B-D476345D23B3}" keepAlive="1" name="連線410" type="5" refreshedVersion="0" background="1">
    <dbPr connection="Provider=Microsoft.Mashup.OleDb.1;Data Source=$Workbook$;Location=&quot;Table_2330_113_02&quot;;Extended Properties=&quot;&quot;" commandType="0"/>
  </connection>
  <connection id="1980" xr16:uid="{92F68FB9-0ABA-4E8A-9FFE-3AE16034049B}" keepAlive="1" name="連線411" type="5" refreshedVersion="0" background="1">
    <dbPr connection="Provider=Microsoft.Mashup.OleDb.1;Data Source=$Workbook$;Location=&quot;Table_2330_113_01&quot;;Extended Properties=&quot;&quot;" commandType="0"/>
  </connection>
  <connection id="1981" xr16:uid="{4099CB00-5740-44E1-AAEA-054DC314879C}" keepAlive="1" name="連線412" type="5" refreshedVersion="0" background="1">
    <dbPr connection="Provider=Microsoft.Mashup.OleDb.1;Data Source=$Workbook$;Location=&quot;Table_1101_113_03&quot;;Extended Properties=&quot;&quot;" commandType="0"/>
  </connection>
  <connection id="1982" xr16:uid="{43365C9E-418F-46E8-A338-4CE7FC9191CE}" keepAlive="1" name="連線413" type="5" refreshedVersion="0" background="1">
    <dbPr connection="Provider=Microsoft.Mashup.OleDb.1;Data Source=$Workbook$;Location=&quot;Table_1101_113_02&quot;;Extended Properties=&quot;&quot;" commandType="0"/>
  </connection>
  <connection id="1983" xr16:uid="{A81DCC82-9FA4-4E22-94DD-84C0AB18F4BB}" keepAlive="1" name="連線414" type="5" refreshedVersion="0" background="1">
    <dbPr connection="Provider=Microsoft.Mashup.OleDb.1;Data Source=$Workbook$;Location=&quot;Table_1101_113_01&quot;;Extended Properties=&quot;&quot;" commandType="0"/>
  </connection>
  <connection id="1984" xr16:uid="{375223ED-04AC-4FAC-820D-8F39AC5A1C93}" keepAlive="1" name="連線415" type="5" refreshedVersion="0" background="1">
    <dbPr connection="Provider=Microsoft.Mashup.OleDb.1;Data Source=$Workbook$;Location=&quot;Table_2912_113_03&quot;;Extended Properties=&quot;&quot;" commandType="0"/>
  </connection>
  <connection id="1985" xr16:uid="{5549F8B0-412E-43FD-B7CE-F944B6FE4679}" keepAlive="1" name="連線416" type="5" refreshedVersion="0" background="1">
    <dbPr connection="Provider=Microsoft.Mashup.OleDb.1;Data Source=$Workbook$;Location=&quot;Table_2912_113_02&quot;;Extended Properties=&quot;&quot;" commandType="0"/>
  </connection>
  <connection id="1986" xr16:uid="{C5FE7543-FB9B-46E9-AF42-3F11B7A27F19}" keepAlive="1" name="連線417" type="5" refreshedVersion="0" background="1">
    <dbPr connection="Provider=Microsoft.Mashup.OleDb.1;Data Source=$Workbook$;Location=&quot;Table_2912_113_01&quot;;Extended Properties=&quot;&quot;" commandType="0"/>
  </connection>
  <connection id="1987" xr16:uid="{D9EB54F8-2EBD-4CE9-B39F-431EBC2BD38E}" keepAlive="1" name="連線418" type="5" refreshedVersion="0" background="1">
    <dbPr connection="Provider=Microsoft.Mashup.OleDb.1;Data Source=$Workbook$;Location=&quot;Table_2002_113_03&quot;;Extended Properties=&quot;&quot;" commandType="0"/>
  </connection>
  <connection id="1988" xr16:uid="{FE8FBDEF-2DC8-4074-B487-F4D3B758C1EE}" keepAlive="1" name="連線419" type="5" refreshedVersion="0" background="1">
    <dbPr connection="Provider=Microsoft.Mashup.OleDb.1;Data Source=$Workbook$;Location=&quot;Table_2002_113_02&quot;;Extended Properties=&quot;&quot;" commandType="0"/>
  </connection>
  <connection id="1989" xr16:uid="{460C116E-5AD5-4438-9BAA-D3037E1288B6}" keepAlive="1" name="連線42" type="5" refreshedVersion="0" background="1">
    <dbPr connection="Provider=Microsoft.Mashup.OleDb.1;Data Source=$Workbook$;Location=&quot;Table 4&quot;;Extended Properties=&quot;&quot;" commandType="0"/>
  </connection>
  <connection id="1990" xr16:uid="{43F4E295-EFF3-4183-9BF2-6045F68F4DFD}" keepAlive="1" name="連線420" type="5" refreshedVersion="0" background="1">
    <dbPr connection="Provider=Microsoft.Mashup.OleDb.1;Data Source=$Workbook$;Location=&quot;Table_2002_113_01&quot;;Extended Properties=&quot;&quot;" commandType="0"/>
  </connection>
  <connection id="1991" xr16:uid="{39BA15F5-99D6-478C-9B88-F642F1366F45}" keepAlive="1" name="連線421" type="5" refreshedVersion="0" background="1">
    <dbPr connection="Provider=Microsoft.Mashup.OleDb.1;Data Source=$Workbook$;Location=&quot;Table_2882_113_03&quot;;Extended Properties=&quot;&quot;" commandType="0"/>
  </connection>
  <connection id="1992" xr16:uid="{10D2E263-A53B-482B-9EBE-E955F04521EE}" keepAlive="1" name="連線422" type="5" refreshedVersion="0" background="1">
    <dbPr connection="Provider=Microsoft.Mashup.OleDb.1;Data Source=$Workbook$;Location=&quot;Table_2882_113_02&quot;;Extended Properties=&quot;&quot;" commandType="0"/>
  </connection>
  <connection id="1993" xr16:uid="{228A460D-C2DC-4B78-AEBC-ED06B55E94B3}" keepAlive="1" name="連線423" type="5" refreshedVersion="0" background="1">
    <dbPr connection="Provider=Microsoft.Mashup.OleDb.1;Data Source=$Workbook$;Location=&quot;Table_2882_113_01&quot;;Extended Properties=&quot;&quot;" commandType="0"/>
  </connection>
  <connection id="1994" xr16:uid="{68BF551A-A4DF-4FC0-8C08-5BC34451CFC7}" keepAlive="1" name="連線424" type="5" refreshedVersion="0" background="1">
    <dbPr connection="Provider=Microsoft.Mashup.OleDb.1;Data Source=$Workbook$;Location=&quot;Table_2330_113_03&quot;;Extended Properties=&quot;&quot;" commandType="0"/>
  </connection>
  <connection id="1995" xr16:uid="{E5DCFE22-E8BF-4DB5-977D-5658E84101BD}" keepAlive="1" name="連線425" type="5" refreshedVersion="0" background="1">
    <dbPr connection="Provider=Microsoft.Mashup.OleDb.1;Data Source=$Workbook$;Location=&quot;Table_2330_113_02&quot;;Extended Properties=&quot;&quot;" commandType="0"/>
  </connection>
  <connection id="1996" xr16:uid="{EDAAE0D8-C33F-4361-A80D-33C19E0F53AA}" keepAlive="1" name="連線426" type="5" refreshedVersion="0" background="1">
    <dbPr connection="Provider=Microsoft.Mashup.OleDb.1;Data Source=$Workbook$;Location=&quot;Table_2330_113_01&quot;;Extended Properties=&quot;&quot;" commandType="0"/>
  </connection>
  <connection id="1997" xr16:uid="{24C47C09-67AA-49FE-BC06-A21A2A43691F}" keepAlive="1" name="連線427" type="5" refreshedVersion="0" background="1">
    <dbPr connection="Provider=Microsoft.Mashup.OleDb.1;Data Source=$Workbook$;Location=&quot;Table_1101_113_03&quot;;Extended Properties=&quot;&quot;" commandType="0"/>
  </connection>
  <connection id="1998" xr16:uid="{80406BA3-9718-4AF1-8644-D7808D85D8A4}" keepAlive="1" name="連線428" type="5" refreshedVersion="0" background="1">
    <dbPr connection="Provider=Microsoft.Mashup.OleDb.1;Data Source=$Workbook$;Location=&quot;Table_1101_113_02&quot;;Extended Properties=&quot;&quot;" commandType="0"/>
  </connection>
  <connection id="1999" xr16:uid="{AD4675C6-A5E4-4C67-BA0A-CE54C34E8062}" keepAlive="1" name="連線429" type="5" refreshedVersion="0" background="1">
    <dbPr connection="Provider=Microsoft.Mashup.OleDb.1;Data Source=$Workbook$;Location=&quot;Table_1101_113_01&quot;;Extended Properties=&quot;&quot;" commandType="0"/>
  </connection>
  <connection id="2000" xr16:uid="{06716E71-D5F0-4A34-986D-D1AD7B48EF6C}" keepAlive="1" name="連線43" type="5" refreshedVersion="0" background="1">
    <dbPr connection="Provider=Microsoft.Mashup.OleDb.1;Data Source=$Workbook$;Location=&quot;Table 5&quot;;Extended Properties=&quot;&quot;" commandType="0"/>
  </connection>
  <connection id="2001" xr16:uid="{0232E40C-5B0A-4C8B-B72D-8E2DD083E6E1}" keepAlive="1" name="連線430" type="5" refreshedVersion="0" background="1">
    <dbPr connection="Provider=Microsoft.Mashup.OleDb.1;Data Source=$Workbook$;Location=&quot;Table_2912_113_03&quot;;Extended Properties=&quot;&quot;" commandType="0"/>
  </connection>
  <connection id="2002" xr16:uid="{19E61E9E-AEFF-42B8-B0CF-9C2BAFEA8002}" keepAlive="1" name="連線431" type="5" refreshedVersion="0" background="1">
    <dbPr connection="Provider=Microsoft.Mashup.OleDb.1;Data Source=$Workbook$;Location=&quot;Table_2912_113_02&quot;;Extended Properties=&quot;&quot;" commandType="0"/>
  </connection>
  <connection id="2003" xr16:uid="{B73D2F2F-2019-4561-9888-973294B71608}" keepAlive="1" name="連線432" type="5" refreshedVersion="0" background="1">
    <dbPr connection="Provider=Microsoft.Mashup.OleDb.1;Data Source=$Workbook$;Location=&quot;Table_2912_113_01&quot;;Extended Properties=&quot;&quot;" commandType="0"/>
  </connection>
  <connection id="2004" xr16:uid="{B5B211D9-78E3-4B8F-A846-AD861341C9A7}" keepAlive="1" name="連線433" type="5" refreshedVersion="0" background="1">
    <dbPr connection="Provider=Microsoft.Mashup.OleDb.1;Data Source=$Workbook$;Location=&quot;Table_2002_113_03&quot;;Extended Properties=&quot;&quot;" commandType="0"/>
  </connection>
  <connection id="2005" xr16:uid="{4AFFC969-5C5B-40C6-865D-FBF1305B37CF}" keepAlive="1" name="連線434" type="5" refreshedVersion="0" background="1">
    <dbPr connection="Provider=Microsoft.Mashup.OleDb.1;Data Source=$Workbook$;Location=&quot;Table_2002_113_02&quot;;Extended Properties=&quot;&quot;" commandType="0"/>
  </connection>
  <connection id="2006" xr16:uid="{C077A73C-FDB4-4E7F-A9A6-76A715E9EF5B}" keepAlive="1" name="連線435" type="5" refreshedVersion="0" background="1">
    <dbPr connection="Provider=Microsoft.Mashup.OleDb.1;Data Source=$Workbook$;Location=&quot;Table_2002_113_01&quot;;Extended Properties=&quot;&quot;" commandType="0"/>
  </connection>
  <connection id="2007" xr16:uid="{4BD8FF03-436E-424B-B2E5-CA82D5035580}" keepAlive="1" name="連線436" type="5" refreshedVersion="0" background="1">
    <dbPr connection="Provider=Microsoft.Mashup.OleDb.1;Data Source=$Workbook$;Location=&quot;Table_2882_113_03&quot;;Extended Properties=&quot;&quot;" commandType="0"/>
  </connection>
  <connection id="2008" xr16:uid="{4D0E6BFC-649D-46D3-811D-542210EE99E8}" keepAlive="1" name="連線437" type="5" refreshedVersion="0" background="1">
    <dbPr connection="Provider=Microsoft.Mashup.OleDb.1;Data Source=$Workbook$;Location=&quot;Table_2882_113_02&quot;;Extended Properties=&quot;&quot;" commandType="0"/>
  </connection>
  <connection id="2009" xr16:uid="{ED7D29A0-9383-4823-B7CB-5A1A0E17AD3A}" keepAlive="1" name="連線438" type="5" refreshedVersion="0" background="1">
    <dbPr connection="Provider=Microsoft.Mashup.OleDb.1;Data Source=$Workbook$;Location=&quot;Table_2882_113_01&quot;;Extended Properties=&quot;&quot;" commandType="0"/>
  </connection>
  <connection id="2010" xr16:uid="{CA9C436B-6ACE-4B44-8292-8256A2436B2F}" keepAlive="1" name="連線439" type="5" refreshedVersion="0" background="1">
    <dbPr connection="Provider=Microsoft.Mashup.OleDb.1;Data Source=$Workbook$;Location=&quot;Table_2330_113_03&quot;;Extended Properties=&quot;&quot;" commandType="0"/>
  </connection>
  <connection id="2011" xr16:uid="{0379E53D-A522-4D16-AE56-118633F72471}" keepAlive="1" name="連線44" type="5" refreshedVersion="0" background="1">
    <dbPr connection="Provider=Microsoft.Mashup.OleDb.1;Data Source=$Workbook$;Location=&quot;Table 6&quot;;Extended Properties=&quot;&quot;" commandType="0"/>
  </connection>
  <connection id="2012" xr16:uid="{413E993E-44DF-4C85-AAA9-245656BC86E1}" keepAlive="1" name="連線440" type="5" refreshedVersion="0" background="1">
    <dbPr connection="Provider=Microsoft.Mashup.OleDb.1;Data Source=$Workbook$;Location=&quot;Table_2330_113_02&quot;;Extended Properties=&quot;&quot;" commandType="0"/>
  </connection>
  <connection id="2013" xr16:uid="{8CDF542E-4B9A-4CE7-9B10-3B7FE511316E}" keepAlive="1" name="連線441" type="5" refreshedVersion="0" background="1">
    <dbPr connection="Provider=Microsoft.Mashup.OleDb.1;Data Source=$Workbook$;Location=&quot;Table_2330_113_01&quot;;Extended Properties=&quot;&quot;" commandType="0"/>
  </connection>
  <connection id="2014" xr16:uid="{BDB1BE87-023C-4952-A443-ECD97CF4258B}" keepAlive="1" name="連線442" type="5" refreshedVersion="0" background="1">
    <dbPr connection="Provider=Microsoft.Mashup.OleDb.1;Data Source=$Workbook$;Location=&quot;Table_1101_113_03&quot;;Extended Properties=&quot;&quot;" commandType="0"/>
  </connection>
  <connection id="2015" xr16:uid="{4314F25A-B2B3-48E2-85DB-FD1CCB259558}" keepAlive="1" name="連線443" type="5" refreshedVersion="0" background="1">
    <dbPr connection="Provider=Microsoft.Mashup.OleDb.1;Data Source=$Workbook$;Location=&quot;Table_1101_113_02&quot;;Extended Properties=&quot;&quot;" commandType="0"/>
  </connection>
  <connection id="2016" xr16:uid="{A20015F2-BA7C-41A2-A8DA-AE4465A7D55A}" keepAlive="1" name="連線444" type="5" refreshedVersion="0" background="1">
    <dbPr connection="Provider=Microsoft.Mashup.OleDb.1;Data Source=$Workbook$;Location=&quot;Table_1101_113_01&quot;;Extended Properties=&quot;&quot;" commandType="0"/>
  </connection>
  <connection id="2017" xr16:uid="{0EA2E513-533B-4131-9A28-6B2987666421}" keepAlive="1" name="連線445" type="5" refreshedVersion="0" background="1">
    <dbPr connection="Provider=Microsoft.Mashup.OleDb.1;Data Source=$Workbook$;Location=&quot;Table_2912_113_03&quot;;Extended Properties=&quot;&quot;" commandType="0"/>
  </connection>
  <connection id="2018" xr16:uid="{1D25A820-871C-47C3-87DC-4353BFDF2684}" keepAlive="1" name="連線446" type="5" refreshedVersion="0" background="1">
    <dbPr connection="Provider=Microsoft.Mashup.OleDb.1;Data Source=$Workbook$;Location=&quot;Table_2912_113_02&quot;;Extended Properties=&quot;&quot;" commandType="0"/>
  </connection>
  <connection id="2019" xr16:uid="{B9FEF8EC-A7C7-4591-AF39-CFF1C1566259}" keepAlive="1" name="連線447" type="5" refreshedVersion="0" background="1">
    <dbPr connection="Provider=Microsoft.Mashup.OleDb.1;Data Source=$Workbook$;Location=&quot;Table_2912_113_01&quot;;Extended Properties=&quot;&quot;" commandType="0"/>
  </connection>
  <connection id="2020" xr16:uid="{0FE8691C-2316-4647-8AF3-693DE8A834B2}" keepAlive="1" name="連線448" type="5" refreshedVersion="0" background="1">
    <dbPr connection="Provider=Microsoft.Mashup.OleDb.1;Data Source=$Workbook$;Location=&quot;Table_2002_113_03&quot;;Extended Properties=&quot;&quot;" commandType="0"/>
  </connection>
  <connection id="2021" xr16:uid="{1C7C8864-4104-4A93-9B98-BC30ABEA2F86}" keepAlive="1" name="連線449" type="5" refreshedVersion="0" background="1">
    <dbPr connection="Provider=Microsoft.Mashup.OleDb.1;Data Source=$Workbook$;Location=&quot;Table_2002_113_02&quot;;Extended Properties=&quot;&quot;" commandType="0"/>
  </connection>
  <connection id="2022" xr16:uid="{FB6AA0EA-5D18-47C4-A816-85ABAFE78533}" keepAlive="1" name="連線45" type="5" refreshedVersion="0" background="1">
    <dbPr connection="Provider=Microsoft.Mashup.OleDb.1;Data Source=$Workbook$;Location=&quot;Table 7&quot;;Extended Properties=&quot;&quot;" commandType="0"/>
  </connection>
  <connection id="2023" xr16:uid="{3618CF1A-9191-4CC9-9C32-7B1F8B3DFFB8}" keepAlive="1" name="連線450" type="5" refreshedVersion="0" background="1">
    <dbPr connection="Provider=Microsoft.Mashup.OleDb.1;Data Source=$Workbook$;Location=&quot;Table_2002_113_01&quot;;Extended Properties=&quot;&quot;" commandType="0"/>
  </connection>
  <connection id="2024" xr16:uid="{600D8B2D-4BF1-400E-896C-0B9EFA3C0719}" keepAlive="1" name="連線451" type="5" refreshedVersion="0" background="1">
    <dbPr connection="Provider=Microsoft.Mashup.OleDb.1;Data Source=$Workbook$;Location=&quot;Table_2882_113_03&quot;;Extended Properties=&quot;&quot;" commandType="0"/>
  </connection>
  <connection id="2025" xr16:uid="{7FE692F5-84A0-43AF-A7EC-CA7CDAC7D1A2}" keepAlive="1" name="連線452" type="5" refreshedVersion="0" background="1">
    <dbPr connection="Provider=Microsoft.Mashup.OleDb.1;Data Source=$Workbook$;Location=&quot;Table_2882_113_02&quot;;Extended Properties=&quot;&quot;" commandType="0"/>
  </connection>
  <connection id="2026" xr16:uid="{956FD59A-61AF-4453-8A9C-EE8DFEF8CE66}" keepAlive="1" name="連線453" type="5" refreshedVersion="0" background="1">
    <dbPr connection="Provider=Microsoft.Mashup.OleDb.1;Data Source=$Workbook$;Location=&quot;Table_2882_113_01&quot;;Extended Properties=&quot;&quot;" commandType="0"/>
  </connection>
  <connection id="2027" xr16:uid="{ED736B6E-9397-47E4-9597-D366C715FBD6}" keepAlive="1" name="連線454" type="5" refreshedVersion="0" background="1">
    <dbPr connection="Provider=Microsoft.Mashup.OleDb.1;Data Source=$Workbook$;Location=&quot;Table_2330_113_03&quot;;Extended Properties=&quot;&quot;" commandType="0"/>
  </connection>
  <connection id="2028" xr16:uid="{723B553A-5219-4A9B-9BF7-F202B6F63AF2}" keepAlive="1" name="連線455" type="5" refreshedVersion="0" background="1">
    <dbPr connection="Provider=Microsoft.Mashup.OleDb.1;Data Source=$Workbook$;Location=&quot;Table_2330_113_02&quot;;Extended Properties=&quot;&quot;" commandType="0"/>
  </connection>
  <connection id="2029" xr16:uid="{D4AD86FE-C605-4532-90EF-B751BDA00201}" keepAlive="1" name="連線456" type="5" refreshedVersion="0" background="1">
    <dbPr connection="Provider=Microsoft.Mashup.OleDb.1;Data Source=$Workbook$;Location=&quot;Table_2330_113_01&quot;;Extended Properties=&quot;&quot;" commandType="0"/>
  </connection>
  <connection id="2030" xr16:uid="{7E38863C-1F1D-4B74-8389-A0E958049047}" keepAlive="1" name="連線457" type="5" refreshedVersion="0" background="1">
    <dbPr connection="Provider=Microsoft.Mashup.OleDb.1;Data Source=$Workbook$;Location=&quot;Table_1101_113_03&quot;;Extended Properties=&quot;&quot;" commandType="0"/>
  </connection>
  <connection id="2031" xr16:uid="{1F5E09B3-8FDD-4007-B6A1-92FC9164DB8F}" keepAlive="1" name="連線458" type="5" refreshedVersion="0" background="1">
    <dbPr connection="Provider=Microsoft.Mashup.OleDb.1;Data Source=$Workbook$;Location=&quot;Table_1101_113_02&quot;;Extended Properties=&quot;&quot;" commandType="0"/>
  </connection>
  <connection id="2032" xr16:uid="{7081E19C-5C39-4D25-BF4F-A02F876EA334}" keepAlive="1" name="連線459" type="5" refreshedVersion="0" background="1">
    <dbPr connection="Provider=Microsoft.Mashup.OleDb.1;Data Source=$Workbook$;Location=&quot;Table_1101_113_01&quot;;Extended Properties=&quot;&quot;" commandType="0"/>
  </connection>
  <connection id="2033" xr16:uid="{84038ABB-BB26-49C4-9248-E2A557A4F43F}" keepAlive="1" name="連線46" type="5" refreshedVersion="0" background="1">
    <dbPr connection="Provider=Microsoft.Mashup.OleDb.1;Data Source=$Workbook$;Location=&quot;Table 3&quot;;Extended Properties=&quot;&quot;" commandType="0"/>
  </connection>
  <connection id="2034" xr16:uid="{5BDA24B9-8EF7-4217-AC46-2864410528A1}" keepAlive="1" name="連線460" type="5" refreshedVersion="0" background="1">
    <dbPr connection="Provider=Microsoft.Mashup.OleDb.1;Data Source=$Workbook$;Location=&quot;Table_2912_113_03&quot;;Extended Properties=&quot;&quot;" commandType="0"/>
  </connection>
  <connection id="2035" xr16:uid="{31586746-5961-4D62-877A-047E0D38A784}" keepAlive="1" name="連線461" type="5" refreshedVersion="0" background="1">
    <dbPr connection="Provider=Microsoft.Mashup.OleDb.1;Data Source=$Workbook$;Location=&quot;Table_2912_113_02&quot;;Extended Properties=&quot;&quot;" commandType="0"/>
  </connection>
  <connection id="2036" xr16:uid="{4B372FF0-A9A0-498E-A02B-18BFF9E095B1}" keepAlive="1" name="連線462" type="5" refreshedVersion="0" background="1">
    <dbPr connection="Provider=Microsoft.Mashup.OleDb.1;Data Source=$Workbook$;Location=&quot;Table_2912_113_01&quot;;Extended Properties=&quot;&quot;" commandType="0"/>
  </connection>
  <connection id="2037" xr16:uid="{44B65D89-7FFC-4753-B8D0-42C1D88CDD6C}" keepAlive="1" name="連線463" type="5" refreshedVersion="0" background="1">
    <dbPr connection="Provider=Microsoft.Mashup.OleDb.1;Data Source=$Workbook$;Location=&quot;Table_2002_113_03&quot;;Extended Properties=&quot;&quot;" commandType="0"/>
  </connection>
  <connection id="2038" xr16:uid="{6A5A5443-C518-431A-8315-52E353F97727}" keepAlive="1" name="連線464" type="5" refreshedVersion="0" background="1">
    <dbPr connection="Provider=Microsoft.Mashup.OleDb.1;Data Source=$Workbook$;Location=&quot;Table_2002_113_02&quot;;Extended Properties=&quot;&quot;" commandType="0"/>
  </connection>
  <connection id="2039" xr16:uid="{C2FB54DA-E905-4ACA-8A22-CD1780723172}" keepAlive="1" name="連線465" type="5" refreshedVersion="0" background="1">
    <dbPr connection="Provider=Microsoft.Mashup.OleDb.1;Data Source=$Workbook$;Location=&quot;Table_2002_113_01&quot;;Extended Properties=&quot;&quot;" commandType="0"/>
  </connection>
  <connection id="2040" xr16:uid="{33820212-AEA8-42F8-8F86-0F2962E6B5C2}" keepAlive="1" name="連線466" type="5" refreshedVersion="0" background="1">
    <dbPr connection="Provider=Microsoft.Mashup.OleDb.1;Data Source=$Workbook$;Location=&quot;Table_2882_113_03&quot;;Extended Properties=&quot;&quot;" commandType="0"/>
  </connection>
  <connection id="2041" xr16:uid="{3E5AA5A7-88C2-4533-97CA-DE207B37155C}" keepAlive="1" name="連線467" type="5" refreshedVersion="0" background="1">
    <dbPr connection="Provider=Microsoft.Mashup.OleDb.1;Data Source=$Workbook$;Location=&quot;Table_2882_113_02&quot;;Extended Properties=&quot;&quot;" commandType="0"/>
  </connection>
  <connection id="2042" xr16:uid="{DF09862A-BE80-4DA1-99F4-FBB00C8F8A56}" keepAlive="1" name="連線468" type="5" refreshedVersion="0" background="1">
    <dbPr connection="Provider=Microsoft.Mashup.OleDb.1;Data Source=$Workbook$;Location=&quot;Table_2882_113_01&quot;;Extended Properties=&quot;&quot;" commandType="0"/>
  </connection>
  <connection id="2043" xr16:uid="{0AC9849C-B4C9-43B5-8842-1582115485C5}" keepAlive="1" name="連線469" type="5" refreshedVersion="0" background="1">
    <dbPr connection="Provider=Microsoft.Mashup.OleDb.1;Data Source=$Workbook$;Location=&quot;Table_2330_113_03&quot;;Extended Properties=&quot;&quot;" commandType="0"/>
  </connection>
  <connection id="2044" xr16:uid="{315B750F-9D68-4AC9-8A7B-71A05B9C8820}" keepAlive="1" name="連線47" type="5" refreshedVersion="0" background="1">
    <dbPr connection="Provider=Microsoft.Mashup.OleDb.1;Data Source=$Workbook$;Location=&quot;Table 4&quot;;Extended Properties=&quot;&quot;" commandType="0"/>
  </connection>
  <connection id="2045" xr16:uid="{E26A3D0C-1A47-4767-9F19-23C6A544D02D}" keepAlive="1" name="連線470" type="5" refreshedVersion="0" background="1">
    <dbPr connection="Provider=Microsoft.Mashup.OleDb.1;Data Source=$Workbook$;Location=&quot;Table_2330_113_02&quot;;Extended Properties=&quot;&quot;" commandType="0"/>
  </connection>
  <connection id="2046" xr16:uid="{9A4B819D-FDCC-4B72-8BE8-E6E2AC5DAD84}" keepAlive="1" name="連線471" type="5" refreshedVersion="0" background="1">
    <dbPr connection="Provider=Microsoft.Mashup.OleDb.1;Data Source=$Workbook$;Location=&quot;Table_2330_113_01&quot;;Extended Properties=&quot;&quot;" commandType="0"/>
  </connection>
  <connection id="2047" xr16:uid="{7F2CD7C2-1643-48A2-8268-CEAA5314335B}" keepAlive="1" name="連線472" type="5" refreshedVersion="0" background="1">
    <dbPr connection="Provider=Microsoft.Mashup.OleDb.1;Data Source=$Workbook$;Location=&quot;Table_1101_113_03&quot;;Extended Properties=&quot;&quot;" commandType="0"/>
  </connection>
  <connection id="2048" xr16:uid="{ED8B573B-9438-4A11-998F-5D85CB714071}" keepAlive="1" name="連線473" type="5" refreshedVersion="0" background="1">
    <dbPr connection="Provider=Microsoft.Mashup.OleDb.1;Data Source=$Workbook$;Location=&quot;Table_1101_113_02&quot;;Extended Properties=&quot;&quot;" commandType="0"/>
  </connection>
  <connection id="2049" xr16:uid="{DD5F35D2-1E26-4807-8727-40ED84EA07C7}" keepAlive="1" name="連線474" type="5" refreshedVersion="0" background="1">
    <dbPr connection="Provider=Microsoft.Mashup.OleDb.1;Data Source=$Workbook$;Location=&quot;Table_1101_113_01&quot;;Extended Properties=&quot;&quot;" commandType="0"/>
  </connection>
  <connection id="2050" xr16:uid="{75761162-9008-4BA2-9137-6E9F725D5C54}" keepAlive="1" name="連線475" type="5" refreshedVersion="0" background="1">
    <dbPr connection="Provider=Microsoft.Mashup.OleDb.1;Data Source=$Workbook$;Location=&quot;Table_2912_113_03&quot;;Extended Properties=&quot;&quot;" commandType="0"/>
  </connection>
  <connection id="2051" xr16:uid="{D6500A30-31AD-42B9-AFE2-21C0C9589D55}" keepAlive="1" name="連線476" type="5" refreshedVersion="0" background="1">
    <dbPr connection="Provider=Microsoft.Mashup.OleDb.1;Data Source=$Workbook$;Location=&quot;Table_2912_113_02&quot;;Extended Properties=&quot;&quot;" commandType="0"/>
  </connection>
  <connection id="2052" xr16:uid="{9CCF3F53-7EAA-4FD5-B7D7-05EF1EFBA969}" keepAlive="1" name="連線477" type="5" refreshedVersion="0" background="1">
    <dbPr connection="Provider=Microsoft.Mashup.OleDb.1;Data Source=$Workbook$;Location=&quot;Table_2912_113_01&quot;;Extended Properties=&quot;&quot;" commandType="0"/>
  </connection>
  <connection id="2053" xr16:uid="{17130399-CDD0-4479-8677-E01D7532FC5A}" keepAlive="1" name="連線478" type="5" refreshedVersion="0" background="1">
    <dbPr connection="Provider=Microsoft.Mashup.OleDb.1;Data Source=$Workbook$;Location=&quot;Table_2002_113_03&quot;;Extended Properties=&quot;&quot;" commandType="0"/>
  </connection>
  <connection id="2054" xr16:uid="{4B213C29-B791-4172-BF32-1F4A0CEE572B}" keepAlive="1" name="連線479" type="5" refreshedVersion="0" background="1">
    <dbPr connection="Provider=Microsoft.Mashup.OleDb.1;Data Source=$Workbook$;Location=&quot;Table_2002_113_02&quot;;Extended Properties=&quot;&quot;" commandType="0"/>
  </connection>
  <connection id="2055" xr16:uid="{7AEA4DA4-6C4D-4BB7-AD3B-AC87CECE075B}" keepAlive="1" name="連線48" type="5" refreshedVersion="0" background="1">
    <dbPr connection="Provider=Microsoft.Mashup.OleDb.1;Data Source=$Workbook$;Location=&quot;Table 5&quot;;Extended Properties=&quot;&quot;" commandType="0"/>
  </connection>
  <connection id="2056" xr16:uid="{F6FC063C-4760-47B7-A4BE-28AF08F4CBAD}" keepAlive="1" name="連線480" type="5" refreshedVersion="0" background="1">
    <dbPr connection="Provider=Microsoft.Mashup.OleDb.1;Data Source=$Workbook$;Location=&quot;Table_2002_113_01&quot;;Extended Properties=&quot;&quot;" commandType="0"/>
  </connection>
  <connection id="2057" xr16:uid="{A95522A1-3683-4968-9C04-841E8B90229E}" keepAlive="1" name="連線481" type="5" refreshedVersion="0" background="1">
    <dbPr connection="Provider=Microsoft.Mashup.OleDb.1;Data Source=$Workbook$;Location=&quot;Table_2882_113_03&quot;;Extended Properties=&quot;&quot;" commandType="0"/>
  </connection>
  <connection id="2058" xr16:uid="{342218BB-F62D-4590-B91E-D0E74F3C054F}" keepAlive="1" name="連線482" type="5" refreshedVersion="0" background="1">
    <dbPr connection="Provider=Microsoft.Mashup.OleDb.1;Data Source=$Workbook$;Location=&quot;Table_2882_113_02&quot;;Extended Properties=&quot;&quot;" commandType="0"/>
  </connection>
  <connection id="2059" xr16:uid="{3D447D8A-F1F9-449E-BE29-33918BC35FA6}" keepAlive="1" name="連線483" type="5" refreshedVersion="0" background="1">
    <dbPr connection="Provider=Microsoft.Mashup.OleDb.1;Data Source=$Workbook$;Location=&quot;Table_2882_113_01&quot;;Extended Properties=&quot;&quot;" commandType="0"/>
  </connection>
  <connection id="2060" xr16:uid="{B68496FE-F48D-4F66-A27A-5AD73B19C316}" keepAlive="1" name="連線484" type="5" refreshedVersion="0" background="1">
    <dbPr connection="Provider=Microsoft.Mashup.OleDb.1;Data Source=$Workbook$;Location=&quot;Table_2330_113_03&quot;;Extended Properties=&quot;&quot;" commandType="0"/>
  </connection>
  <connection id="2061" xr16:uid="{A3F55D83-A05E-4A74-B236-1EFAA034BE13}" keepAlive="1" name="連線485" type="5" refreshedVersion="0" background="1">
    <dbPr connection="Provider=Microsoft.Mashup.OleDb.1;Data Source=$Workbook$;Location=&quot;Table_2330_113_02&quot;;Extended Properties=&quot;&quot;" commandType="0"/>
  </connection>
  <connection id="2062" xr16:uid="{AC51C68C-DCAE-4669-A415-7F9FBBD44D00}" keepAlive="1" name="連線486" type="5" refreshedVersion="0" background="1">
    <dbPr connection="Provider=Microsoft.Mashup.OleDb.1;Data Source=$Workbook$;Location=&quot;Table_2330_113_01&quot;;Extended Properties=&quot;&quot;" commandType="0"/>
  </connection>
  <connection id="2063" xr16:uid="{57EE3208-30FD-4FB3-BC48-12F64379F124}" keepAlive="1" name="連線487" type="5" refreshedVersion="0" background="1">
    <dbPr connection="Provider=Microsoft.Mashup.OleDb.1;Data Source=$Workbook$;Location=&quot;Table_1101_113_03&quot;;Extended Properties=&quot;&quot;" commandType="0"/>
  </connection>
  <connection id="2064" xr16:uid="{5C3A7339-6A48-4DB1-B7EE-76D44D3AD7B5}" keepAlive="1" name="連線488" type="5" refreshedVersion="0" background="1">
    <dbPr connection="Provider=Microsoft.Mashup.OleDb.1;Data Source=$Workbook$;Location=&quot;Table_1101_113_02&quot;;Extended Properties=&quot;&quot;" commandType="0"/>
  </connection>
  <connection id="2065" xr16:uid="{57C5AEC7-20E8-465F-BDFA-3A3324739CF2}" keepAlive="1" name="連線489" type="5" refreshedVersion="0" background="1">
    <dbPr connection="Provider=Microsoft.Mashup.OleDb.1;Data Source=$Workbook$;Location=&quot;Table_1101_113_01&quot;;Extended Properties=&quot;&quot;" commandType="0"/>
  </connection>
  <connection id="2066" xr16:uid="{672054E7-F3D1-4F48-8FDF-260576CDBEA6}" keepAlive="1" name="連線49" type="5" refreshedVersion="0" background="1">
    <dbPr connection="Provider=Microsoft.Mashup.OleDb.1;Data Source=$Workbook$;Location=&quot;Table 6&quot;;Extended Properties=&quot;&quot;" commandType="0"/>
  </connection>
  <connection id="2067" xr16:uid="{EA435595-0667-4324-A66A-DE61C2192150}" keepAlive="1" name="連線490" type="5" refreshedVersion="0" background="1">
    <dbPr connection="Provider=Microsoft.Mashup.OleDb.1;Data Source=$Workbook$;Location=&quot;Table_2912_113_03&quot;;Extended Properties=&quot;&quot;" commandType="0"/>
  </connection>
  <connection id="2068" xr16:uid="{BD7D3339-32AE-4DC3-8D5D-9ABA1A3A803A}" keepAlive="1" name="連線491" type="5" refreshedVersion="0" background="1">
    <dbPr connection="Provider=Microsoft.Mashup.OleDb.1;Data Source=$Workbook$;Location=&quot;Table_2912_113_02&quot;;Extended Properties=&quot;&quot;" commandType="0"/>
  </connection>
  <connection id="2069" xr16:uid="{D9EA4C49-B9E0-4892-8276-3CD9B75E7D81}" keepAlive="1" name="連線492" type="5" refreshedVersion="0" background="1">
    <dbPr connection="Provider=Microsoft.Mashup.OleDb.1;Data Source=$Workbook$;Location=&quot;Table_2912_113_01&quot;;Extended Properties=&quot;&quot;" commandType="0"/>
  </connection>
  <connection id="2070" xr16:uid="{93F7330F-391C-4A14-A482-C25F6D2F1B81}" keepAlive="1" name="連線493" type="5" refreshedVersion="0" background="1">
    <dbPr connection="Provider=Microsoft.Mashup.OleDb.1;Data Source=$Workbook$;Location=&quot;Table_2002_113_03&quot;;Extended Properties=&quot;&quot;" commandType="0"/>
  </connection>
  <connection id="2071" xr16:uid="{1BD32650-CB42-4A4B-A65D-FB167DE60680}" keepAlive="1" name="連線494" type="5" refreshedVersion="0" background="1">
    <dbPr connection="Provider=Microsoft.Mashup.OleDb.1;Data Source=$Workbook$;Location=&quot;Table_2002_113_02&quot;;Extended Properties=&quot;&quot;" commandType="0"/>
  </connection>
  <connection id="2072" xr16:uid="{F359E5C6-ECD0-4542-8A0C-99DAA28429B5}" keepAlive="1" name="連線495" type="5" refreshedVersion="0" background="1">
    <dbPr connection="Provider=Microsoft.Mashup.OleDb.1;Data Source=$Workbook$;Location=&quot;Table_2002_113_01&quot;;Extended Properties=&quot;&quot;" commandType="0"/>
  </connection>
  <connection id="2073" xr16:uid="{51D41B95-7C47-4E7C-8AC8-55405FB6A8FA}" keepAlive="1" name="連線496" type="5" refreshedVersion="0" background="1">
    <dbPr connection="Provider=Microsoft.Mashup.OleDb.1;Data Source=$Workbook$;Location=&quot;Table_2882_113_03&quot;;Extended Properties=&quot;&quot;" commandType="0"/>
  </connection>
  <connection id="2074" xr16:uid="{6E79BC4E-2B98-4713-87F0-21FD51E8A576}" keepAlive="1" name="連線497" type="5" refreshedVersion="0" background="1">
    <dbPr connection="Provider=Microsoft.Mashup.OleDb.1;Data Source=$Workbook$;Location=&quot;Table_2882_113_02&quot;;Extended Properties=&quot;&quot;" commandType="0"/>
  </connection>
  <connection id="2075" xr16:uid="{04F08007-8772-4EE6-8E52-E613C5E66751}" keepAlive="1" name="連線498" type="5" refreshedVersion="0" background="1">
    <dbPr connection="Provider=Microsoft.Mashup.OleDb.1;Data Source=$Workbook$;Location=&quot;Table_2882_113_01&quot;;Extended Properties=&quot;&quot;" commandType="0"/>
  </connection>
  <connection id="2076" xr16:uid="{5A40312A-A654-4A78-9D5D-D41B2DF63D23}" keepAlive="1" name="連線499" type="5" refreshedVersion="0" background="1">
    <dbPr connection="Provider=Microsoft.Mashup.OleDb.1;Data Source=$Workbook$;Location=&quot;Table_2330_113_03&quot;;Extended Properties=&quot;&quot;" commandType="0"/>
  </connection>
  <connection id="2077" xr16:uid="{90A90603-20E6-4560-AD10-9E6C368748A5}" keepAlive="1" name="連線5" type="5" refreshedVersion="0" background="1">
    <dbPr connection="Provider=Microsoft.Mashup.OleDb.1;Data Source=$Workbook$;Location=&quot;Table 3&quot;;Extended Properties=&quot;&quot;" commandType="0"/>
  </connection>
  <connection id="2078" xr16:uid="{0C0BF35A-3D20-4BAF-93FF-46A7A1F1125D}" keepAlive="1" name="連線50" type="5" refreshedVersion="0" background="1">
    <dbPr connection="Provider=Microsoft.Mashup.OleDb.1;Data Source=$Workbook$;Location=&quot;Table 7&quot;;Extended Properties=&quot;&quot;" commandType="0"/>
  </connection>
  <connection id="2079" xr16:uid="{4DEB37F5-64EE-439F-8797-8543946136F0}" keepAlive="1" name="連線500" type="5" refreshedVersion="0" background="1">
    <dbPr connection="Provider=Microsoft.Mashup.OleDb.1;Data Source=$Workbook$;Location=&quot;Table_2330_113_02&quot;;Extended Properties=&quot;&quot;" commandType="0"/>
  </connection>
  <connection id="2080" xr16:uid="{65041B8F-0552-471A-BF3A-2C90F935431A}" keepAlive="1" name="連線501" type="5" refreshedVersion="0" background="1">
    <dbPr connection="Provider=Microsoft.Mashup.OleDb.1;Data Source=$Workbook$;Location=&quot;Table_2330_113_01&quot;;Extended Properties=&quot;&quot;" commandType="0"/>
  </connection>
  <connection id="2081" xr16:uid="{67B1A4A5-D1CC-4574-9D7A-7C26ADAD84B0}" keepAlive="1" name="連線502" type="5" refreshedVersion="0" background="1">
    <dbPr connection="Provider=Microsoft.Mashup.OleDb.1;Data Source=$Workbook$;Location=&quot;Table_1101_113_03&quot;;Extended Properties=&quot;&quot;" commandType="0"/>
  </connection>
  <connection id="2082" xr16:uid="{C85179FC-DE45-4DB3-839C-13EC5A385FBA}" keepAlive="1" name="連線503" type="5" refreshedVersion="0" background="1">
    <dbPr connection="Provider=Microsoft.Mashup.OleDb.1;Data Source=$Workbook$;Location=&quot;Table_1101_113_02&quot;;Extended Properties=&quot;&quot;" commandType="0"/>
  </connection>
  <connection id="2083" xr16:uid="{196132FD-22A0-4A41-A205-A685D0ABA6E0}" keepAlive="1" name="連線504" type="5" refreshedVersion="0" background="1">
    <dbPr connection="Provider=Microsoft.Mashup.OleDb.1;Data Source=$Workbook$;Location=&quot;Table_1101_113_01&quot;;Extended Properties=&quot;&quot;" commandType="0"/>
  </connection>
  <connection id="2084" xr16:uid="{3D3B8C2C-2A87-4A02-8F7A-1399A08DC9BC}" keepAlive="1" name="連線505" type="5" refreshedVersion="0" background="1">
    <dbPr connection="Provider=Microsoft.Mashup.OleDb.1;Data Source=$Workbook$;Location=&quot;Table_2912_113_03&quot;;Extended Properties=&quot;&quot;" commandType="0"/>
  </connection>
  <connection id="2085" xr16:uid="{DE8048C7-70CA-4620-AA16-372113C0A1AC}" keepAlive="1" name="連線506" type="5" refreshedVersion="0" background="1">
    <dbPr connection="Provider=Microsoft.Mashup.OleDb.1;Data Source=$Workbook$;Location=&quot;Table_2912_113_02&quot;;Extended Properties=&quot;&quot;" commandType="0"/>
  </connection>
  <connection id="2086" xr16:uid="{3288CD60-DFF1-4E6F-8E17-83A4765ED04C}" keepAlive="1" name="連線507" type="5" refreshedVersion="0" background="1">
    <dbPr connection="Provider=Microsoft.Mashup.OleDb.1;Data Source=$Workbook$;Location=&quot;Table_2912_113_01&quot;;Extended Properties=&quot;&quot;" commandType="0"/>
  </connection>
  <connection id="2087" xr16:uid="{5B061DE4-E2AF-4ACA-862C-06024805E88E}" keepAlive="1" name="連線508" type="5" refreshedVersion="0" background="1">
    <dbPr connection="Provider=Microsoft.Mashup.OleDb.1;Data Source=$Workbook$;Location=&quot;Table_2002_113_03&quot;;Extended Properties=&quot;&quot;" commandType="0"/>
  </connection>
  <connection id="2088" xr16:uid="{04D6D2EA-3D45-407F-8B59-0BA7F7CA5C27}" keepAlive="1" name="連線509" type="5" refreshedVersion="0" background="1">
    <dbPr connection="Provider=Microsoft.Mashup.OleDb.1;Data Source=$Workbook$;Location=&quot;Table_2002_113_02&quot;;Extended Properties=&quot;&quot;" commandType="0"/>
  </connection>
  <connection id="2089" xr16:uid="{FF39FD00-3CBF-42E4-81AC-0BEEC860805C}" keepAlive="1" name="連線51" type="5" refreshedVersion="0" background="1">
    <dbPr connection="Provider=Microsoft.Mashup.OleDb.1;Data Source=$Workbook$;Location=&quot;Table 3&quot;;Extended Properties=&quot;&quot;" commandType="0"/>
  </connection>
  <connection id="2090" xr16:uid="{21099336-56C6-47E1-9E43-1CE64F99B845}" keepAlive="1" name="連線510" type="5" refreshedVersion="0" background="1">
    <dbPr connection="Provider=Microsoft.Mashup.OleDb.1;Data Source=$Workbook$;Location=&quot;Table_2002_113_01&quot;;Extended Properties=&quot;&quot;" commandType="0"/>
  </connection>
  <connection id="2091" xr16:uid="{D7CB1DC2-5C0A-43B1-A5A6-35206DA59DCC}" keepAlive="1" name="連線511" type="5" refreshedVersion="0" background="1">
    <dbPr connection="Provider=Microsoft.Mashup.OleDb.1;Data Source=$Workbook$;Location=&quot;Table_2882_113_03&quot;;Extended Properties=&quot;&quot;" commandType="0"/>
  </connection>
  <connection id="2092" xr16:uid="{6E523AF1-45F5-42B3-B6F8-59547724449F}" keepAlive="1" name="連線512" type="5" refreshedVersion="0" background="1">
    <dbPr connection="Provider=Microsoft.Mashup.OleDb.1;Data Source=$Workbook$;Location=&quot;Table_2882_113_02&quot;;Extended Properties=&quot;&quot;" commandType="0"/>
  </connection>
  <connection id="2093" xr16:uid="{D3F844CD-0DA9-418E-96E1-1670DBF20B97}" keepAlive="1" name="連線513" type="5" refreshedVersion="0" background="1">
    <dbPr connection="Provider=Microsoft.Mashup.OleDb.1;Data Source=$Workbook$;Location=&quot;Table_2882_113_01&quot;;Extended Properties=&quot;&quot;" commandType="0"/>
  </connection>
  <connection id="2094" xr16:uid="{90D31318-521F-4269-9EF9-11EED594CBEF}" keepAlive="1" name="連線514" type="5" refreshedVersion="7" background="1" saveData="1">
    <dbPr connection="Provider=Microsoft.Mashup.OleDb.1;Data Source=$Workbook$;Location=&quot;Table_2330_113_03&quot;;Extended Properties=&quot;&quot;" command="SELECT * FROM [Table_2330_113_03]"/>
  </connection>
  <connection id="2095" xr16:uid="{3438F344-3493-4DD1-AA72-EF7996D249D6}" keepAlive="1" name="連線515" type="5" refreshedVersion="7" background="1" saveData="1">
    <dbPr connection="Provider=Microsoft.Mashup.OleDb.1;Data Source=$Workbook$;Location=&quot;Table_2330_113_02&quot;;Extended Properties=&quot;&quot;" command="SELECT * FROM [Table_2330_113_02]"/>
  </connection>
  <connection id="2096" xr16:uid="{AD19AB10-12D1-4946-A94F-FDE344F8AC60}" keepAlive="1" name="連線516" type="5" refreshedVersion="7" background="1" saveData="1">
    <dbPr connection="Provider=Microsoft.Mashup.OleDb.1;Data Source=$Workbook$;Location=&quot;Table_2330_113_01&quot;;Extended Properties=&quot;&quot;" command="SELECT * FROM [Table_2330_113_01]"/>
  </connection>
  <connection id="2097" xr16:uid="{94F21DCD-3CAF-4E21-B263-4FBE72C20C5B}" keepAlive="1" name="連線517" type="5" refreshedVersion="7" background="1" saveData="1">
    <dbPr connection="Provider=Microsoft.Mashup.OleDb.1;Data Source=$Workbook$;Location=&quot;Table_1101_113_03&quot;;Extended Properties=&quot;&quot;" command="SELECT * FROM [Table_1101_113_03]"/>
  </connection>
  <connection id="2098" xr16:uid="{F8BBDF88-5DF4-4875-B585-38DD8F44DED2}" keepAlive="1" name="連線518" type="5" refreshedVersion="7" background="1" saveData="1">
    <dbPr connection="Provider=Microsoft.Mashup.OleDb.1;Data Source=$Workbook$;Location=&quot;Table_1101_113_02&quot;;Extended Properties=&quot;&quot;" command="SELECT * FROM [Table_1101_113_02]"/>
  </connection>
  <connection id="2099" xr16:uid="{74D27434-6319-49B0-AEB3-8896A65CD538}" keepAlive="1" name="連線519" type="5" refreshedVersion="7" background="1" saveData="1">
    <dbPr connection="Provider=Microsoft.Mashup.OleDb.1;Data Source=$Workbook$;Location=&quot;Table_1101_113_01&quot;;Extended Properties=&quot;&quot;" command="SELECT * FROM [Table_1101_113_01]"/>
  </connection>
  <connection id="2100" xr16:uid="{52200483-BF80-42E9-909B-A1489270F3DF}" keepAlive="1" name="連線52" type="5" refreshedVersion="0" background="1">
    <dbPr connection="Provider=Microsoft.Mashup.OleDb.1;Data Source=$Workbook$;Location=&quot;Table 4&quot;;Extended Properties=&quot;&quot;" commandType="0"/>
  </connection>
  <connection id="2101" xr16:uid="{984550B9-0E02-4820-8C68-50640FF20363}" keepAlive="1" name="連線520" type="5" refreshedVersion="7" background="1" saveData="1">
    <dbPr connection="Provider=Microsoft.Mashup.OleDb.1;Data Source=$Workbook$;Location=&quot;Table_2912_113_03&quot;;Extended Properties=&quot;&quot;" command="SELECT * FROM [Table_2912_113_03]"/>
  </connection>
  <connection id="2102" xr16:uid="{E8A0377D-8D08-47FA-9D16-0DF45E1DECB5}" keepAlive="1" name="連線521" type="5" refreshedVersion="7" background="1" saveData="1">
    <dbPr connection="Provider=Microsoft.Mashup.OleDb.1;Data Source=$Workbook$;Location=&quot;Table_2912_113_02&quot;;Extended Properties=&quot;&quot;" command="SELECT * FROM [Table_2912_113_02]"/>
  </connection>
  <connection id="2103" xr16:uid="{119DBAA6-DA94-4766-B5E4-CF2F58FB35B8}" keepAlive="1" name="連線522" type="5" refreshedVersion="7" background="1" saveData="1">
    <dbPr connection="Provider=Microsoft.Mashup.OleDb.1;Data Source=$Workbook$;Location=&quot;Table_2912_113_01&quot;;Extended Properties=&quot;&quot;" command="SELECT * FROM [Table_2912_113_01]"/>
  </connection>
  <connection id="2104" xr16:uid="{3B165554-4C8D-476F-AF28-851FA7044961}" keepAlive="1" name="連線523" type="5" refreshedVersion="7" background="1" saveData="1">
    <dbPr connection="Provider=Microsoft.Mashup.OleDb.1;Data Source=$Workbook$;Location=&quot;Table_2002_113_03&quot;;Extended Properties=&quot;&quot;" command="SELECT * FROM [Table_2002_113_03]"/>
  </connection>
  <connection id="2105" xr16:uid="{50ECC00F-5165-460D-91F8-A397305A5822}" keepAlive="1" name="連線524" type="5" refreshedVersion="7" background="1" saveData="1">
    <dbPr connection="Provider=Microsoft.Mashup.OleDb.1;Data Source=$Workbook$;Location=&quot;Table_2002_113_02&quot;;Extended Properties=&quot;&quot;" command="SELECT * FROM [Table_2002_113_02]"/>
  </connection>
  <connection id="2106" xr16:uid="{DA884903-2E79-47F4-A249-3A86F3D6D62D}" keepAlive="1" name="連線525" type="5" refreshedVersion="7" background="1" saveData="1">
    <dbPr connection="Provider=Microsoft.Mashup.OleDb.1;Data Source=$Workbook$;Location=&quot;Table_2002_113_01&quot;;Extended Properties=&quot;&quot;" command="SELECT * FROM [Table_2002_113_01]"/>
  </connection>
  <connection id="2107" xr16:uid="{B742FB1F-84F9-46E1-A1D9-5A88A6BF8212}" keepAlive="1" name="連線526" type="5" refreshedVersion="7" background="1" saveData="1">
    <dbPr connection="Provider=Microsoft.Mashup.OleDb.1;Data Source=$Workbook$;Location=&quot;Table_2882_113_03&quot;;Extended Properties=&quot;&quot;" command="SELECT * FROM [Table_2882_113_03]"/>
  </connection>
  <connection id="2108" xr16:uid="{D58C3555-3B37-4DAF-8118-BB396D3CB2A2}" keepAlive="1" name="連線527" type="5" refreshedVersion="7" background="1" saveData="1">
    <dbPr connection="Provider=Microsoft.Mashup.OleDb.1;Data Source=$Workbook$;Location=&quot;Table_2882_113_02&quot;;Extended Properties=&quot;&quot;" command="SELECT * FROM [Table_2882_113_02]"/>
  </connection>
  <connection id="2109" xr16:uid="{CAE7DFCE-5866-41DE-B213-482AFE8D37BA}" keepAlive="1" name="連線528" type="5" refreshedVersion="7" background="1" saveData="1">
    <dbPr connection="Provider=Microsoft.Mashup.OleDb.1;Data Source=$Workbook$;Location=&quot;Table_2882_113_01&quot;;Extended Properties=&quot;&quot;" command="SELECT * FROM [Table_2882_113_01]"/>
  </connection>
  <connection id="2110" xr16:uid="{9877063E-36A0-4F32-8338-D2D081F83B05}" keepAlive="1" name="連線529" type="5" refreshedVersion="8" background="1" saveData="1">
    <dbPr connection="Provider=Microsoft.Mashup.OleDb.1;Data Source=$Workbook$;Location=&quot;Table_2330_113_03&quot;;Extended Properties=&quot;&quot;" command="SELECT * FROM [Table_2330_113_03]"/>
  </connection>
  <connection id="2111" xr16:uid="{CA835BDC-DF73-4AC9-8958-1929D6754577}" keepAlive="1" name="連線53" type="5" refreshedVersion="0" background="1">
    <dbPr connection="Provider=Microsoft.Mashup.OleDb.1;Data Source=$Workbook$;Location=&quot;Table 5&quot;;Extended Properties=&quot;&quot;" commandType="0"/>
  </connection>
  <connection id="2112" xr16:uid="{E1745B71-1215-4275-B322-584683123F0B}" keepAlive="1" name="連線530" type="5" refreshedVersion="8" background="1" saveData="1">
    <dbPr connection="Provider=Microsoft.Mashup.OleDb.1;Data Source=$Workbook$;Location=&quot;Table_2330_113_02&quot;;Extended Properties=&quot;&quot;" command="SELECT * FROM [Table_2330_113_02]"/>
  </connection>
  <connection id="2113" xr16:uid="{5047912C-6F7D-412C-BAD6-B4305451750C}" keepAlive="1" name="連線531" type="5" refreshedVersion="8" background="1" saveData="1">
    <dbPr connection="Provider=Microsoft.Mashup.OleDb.1;Data Source=$Workbook$;Location=&quot;Table_2330_113_01&quot;;Extended Properties=&quot;&quot;" command="SELECT * FROM [Table_2330_113_01]"/>
  </connection>
  <connection id="2114" xr16:uid="{C444EB76-1B99-4532-9DA4-C935FFD745D3}" keepAlive="1" name="連線532" type="5" refreshedVersion="8" background="1" saveData="1">
    <dbPr connection="Provider=Microsoft.Mashup.OleDb.1;Data Source=$Workbook$;Location=&quot;Table_1101_113_03&quot;;Extended Properties=&quot;&quot;" command="SELECT * FROM [Table_1101_113_03]"/>
  </connection>
  <connection id="2115" xr16:uid="{22171929-3FAC-4B69-B63D-9AB34D31F9D5}" keepAlive="1" name="連線533" type="5" refreshedVersion="8" background="1" saveData="1">
    <dbPr connection="Provider=Microsoft.Mashup.OleDb.1;Data Source=$Workbook$;Location=&quot;Table_1101_113_02&quot;;Extended Properties=&quot;&quot;" command="SELECT * FROM [Table_1101_113_02]"/>
  </connection>
  <connection id="2116" xr16:uid="{E89128B5-0257-444E-BE35-BE3B9A1D5E0A}" keepAlive="1" name="連線534" type="5" refreshedVersion="8" background="1" saveData="1">
    <dbPr connection="Provider=Microsoft.Mashup.OleDb.1;Data Source=$Workbook$;Location=&quot;Table_1101_113_01&quot;;Extended Properties=&quot;&quot;" command="SELECT * FROM [Table_1101_113_01]"/>
  </connection>
  <connection id="2117" xr16:uid="{35A0EE46-C582-415C-AEB4-E9262AE327AA}" keepAlive="1" name="連線535" type="5" refreshedVersion="8" background="1" saveData="1">
    <dbPr connection="Provider=Microsoft.Mashup.OleDb.1;Data Source=$Workbook$;Location=&quot;Table_2912_113_03&quot;;Extended Properties=&quot;&quot;" command="SELECT * FROM [Table_2912_113_03]"/>
  </connection>
  <connection id="2118" xr16:uid="{72D3629C-9833-4FD3-B855-7C5583820323}" keepAlive="1" name="連線536" type="5" refreshedVersion="8" background="1" saveData="1">
    <dbPr connection="Provider=Microsoft.Mashup.OleDb.1;Data Source=$Workbook$;Location=&quot;Table_2912_113_02&quot;;Extended Properties=&quot;&quot;" command="SELECT * FROM [Table_2912_113_02]"/>
  </connection>
  <connection id="2119" xr16:uid="{6D75F19C-3227-4106-96F8-A9A019A14AB8}" keepAlive="1" name="連線537" type="5" refreshedVersion="8" background="1" saveData="1">
    <dbPr connection="Provider=Microsoft.Mashup.OleDb.1;Data Source=$Workbook$;Location=&quot;Table_2912_113_01&quot;;Extended Properties=&quot;&quot;" command="SELECT * FROM [Table_2912_113_01]"/>
  </connection>
  <connection id="2120" xr16:uid="{9D65AE36-D0FB-41C9-A879-966BF3F98248}" keepAlive="1" name="連線538" type="5" refreshedVersion="8" background="1" saveData="1">
    <dbPr connection="Provider=Microsoft.Mashup.OleDb.1;Data Source=$Workbook$;Location=&quot;Table_2002_113_03&quot;;Extended Properties=&quot;&quot;" command="SELECT * FROM [Table_2002_113_03]"/>
  </connection>
  <connection id="2121" xr16:uid="{AEDB2A97-4042-4C75-B057-0B122F0FF08C}" keepAlive="1" name="連線539" type="5" refreshedVersion="8" background="1" saveData="1">
    <dbPr connection="Provider=Microsoft.Mashup.OleDb.1;Data Source=$Workbook$;Location=&quot;Table_2002_113_02&quot;;Extended Properties=&quot;&quot;" command="SELECT * FROM [Table_2002_113_02]"/>
  </connection>
  <connection id="2122" xr16:uid="{F50E01C7-F7F3-4BCB-8B62-31E9EA56440D}" keepAlive="1" name="連線54" type="5" refreshedVersion="0" background="1">
    <dbPr connection="Provider=Microsoft.Mashup.OleDb.1;Data Source=$Workbook$;Location=&quot;Table 6&quot;;Extended Properties=&quot;&quot;" commandType="0"/>
  </connection>
  <connection id="2123" xr16:uid="{A00B0B5B-C893-4779-BF4D-CA351FCCD64D}" keepAlive="1" name="連線540" type="5" refreshedVersion="8" background="1" saveData="1">
    <dbPr connection="Provider=Microsoft.Mashup.OleDb.1;Data Source=$Workbook$;Location=&quot;Table_2002_113_01&quot;;Extended Properties=&quot;&quot;" command="SELECT * FROM [Table_2002_113_01]"/>
  </connection>
  <connection id="2124" xr16:uid="{A9B93BBD-5B85-440E-970A-BCDDF790D716}" keepAlive="1" name="連線541" type="5" refreshedVersion="8" background="1" saveData="1">
    <dbPr connection="Provider=Microsoft.Mashup.OleDb.1;Data Source=$Workbook$;Location=&quot;Table_2882_113_03&quot;;Extended Properties=&quot;&quot;" command="SELECT * FROM [Table_2882_113_03]"/>
  </connection>
  <connection id="2125" xr16:uid="{B2BC4556-66A2-4E05-AE92-FBB38A13AA45}" keepAlive="1" name="連線542" type="5" refreshedVersion="8" background="1" saveData="1">
    <dbPr connection="Provider=Microsoft.Mashup.OleDb.1;Data Source=$Workbook$;Location=&quot;Table_2882_113_02&quot;;Extended Properties=&quot;&quot;" command="SELECT * FROM [Table_2882_113_02]"/>
  </connection>
  <connection id="2126" xr16:uid="{A6087714-8ADD-4CB7-B98E-C84D2D76CE27}" keepAlive="1" name="連線543" type="5" refreshedVersion="8" background="1" saveData="1">
    <dbPr connection="Provider=Microsoft.Mashup.OleDb.1;Data Source=$Workbook$;Location=&quot;Table_2882_113_01&quot;;Extended Properties=&quot;&quot;" command="SELECT * FROM [Table_2882_113_01]"/>
  </connection>
  <connection id="2127" xr16:uid="{A48C8E91-26A4-48EA-A06E-C961384D3872}" keepAlive="1" name="連線544" type="5" refreshedVersion="8" background="1" saveData="1">
    <dbPr connection="Provider=Microsoft.Mashup.OleDb.1;Data Source=$Workbook$;Location=&quot;Table_2330_113_03&quot;;Extended Properties=&quot;&quot;" command="SELECT * FROM [Table_2330_113_03]"/>
  </connection>
  <connection id="2128" xr16:uid="{DAED812D-6B8E-48DA-9D70-1D0E643CAB2F}" keepAlive="1" name="連線545" type="5" refreshedVersion="8" background="1" saveData="1">
    <dbPr connection="Provider=Microsoft.Mashup.OleDb.1;Data Source=$Workbook$;Location=&quot;Table_2330_113_02&quot;;Extended Properties=&quot;&quot;" command="SELECT * FROM [Table_2330_113_02]"/>
  </connection>
  <connection id="2129" xr16:uid="{85D2361D-64BE-4BA7-9905-F4FBA96F0807}" keepAlive="1" name="連線546" type="5" refreshedVersion="8" background="1" saveData="1">
    <dbPr connection="Provider=Microsoft.Mashup.OleDb.1;Data Source=$Workbook$;Location=&quot;Table_2330_113_01&quot;;Extended Properties=&quot;&quot;" command="SELECT * FROM [Table_2330_113_01]"/>
  </connection>
  <connection id="2130" xr16:uid="{84663FD6-E411-4FB9-96A3-1FECA6FF4A89}" keepAlive="1" name="連線547" type="5" refreshedVersion="8" background="1" saveData="1">
    <dbPr connection="Provider=Microsoft.Mashup.OleDb.1;Data Source=$Workbook$;Location=&quot;Table_1101_113_03&quot;;Extended Properties=&quot;&quot;" command="SELECT * FROM [Table_1101_113_03]"/>
  </connection>
  <connection id="2131" xr16:uid="{C7C1533D-D9C8-48AA-9820-95FE481759A2}" keepAlive="1" name="連線548" type="5" refreshedVersion="8" background="1" saveData="1">
    <dbPr connection="Provider=Microsoft.Mashup.OleDb.1;Data Source=$Workbook$;Location=&quot;Table_1101_113_02&quot;;Extended Properties=&quot;&quot;" command="SELECT * FROM [Table_1101_113_02]"/>
  </connection>
  <connection id="2132" xr16:uid="{B5B6808F-D5F5-41E7-874A-A3E8AF51B304}" keepAlive="1" name="連線549" type="5" refreshedVersion="8" background="1" saveData="1">
    <dbPr connection="Provider=Microsoft.Mashup.OleDb.1;Data Source=$Workbook$;Location=&quot;Table_1101_113_01&quot;;Extended Properties=&quot;&quot;" command="SELECT * FROM [Table_1101_113_01]"/>
  </connection>
  <connection id="2133" xr16:uid="{AF4DBB7E-C3AA-4193-A2CD-914FACE92D3C}" keepAlive="1" name="連線55" type="5" refreshedVersion="0" background="1">
    <dbPr connection="Provider=Microsoft.Mashup.OleDb.1;Data Source=$Workbook$;Location=&quot;Table 7&quot;;Extended Properties=&quot;&quot;" commandType="0"/>
  </connection>
  <connection id="2134" xr16:uid="{929398C1-A44A-4A88-8297-FCD6109EE1A2}" keepAlive="1" name="連線550" type="5" refreshedVersion="8" background="1" saveData="1">
    <dbPr connection="Provider=Microsoft.Mashup.OleDb.1;Data Source=$Workbook$;Location=&quot;Table_2912_113_03&quot;;Extended Properties=&quot;&quot;" command="SELECT * FROM [Table_2912_113_03]"/>
  </connection>
  <connection id="2135" xr16:uid="{3D83AB41-2BB2-4375-A191-7C22EC17C7FA}" keepAlive="1" name="連線551" type="5" refreshedVersion="8" background="1" saveData="1">
    <dbPr connection="Provider=Microsoft.Mashup.OleDb.1;Data Source=$Workbook$;Location=&quot;Table_2912_113_02&quot;;Extended Properties=&quot;&quot;" command="SELECT * FROM [Table_2912_113_02]"/>
  </connection>
  <connection id="2136" xr16:uid="{C250279D-0FC4-4FDD-B3DE-2A4CE847A0C1}" keepAlive="1" name="連線552" type="5" refreshedVersion="8" background="1" saveData="1">
    <dbPr connection="Provider=Microsoft.Mashup.OleDb.1;Data Source=$Workbook$;Location=&quot;Table_2912_113_01&quot;;Extended Properties=&quot;&quot;" command="SELECT * FROM [Table_2912_113_01]"/>
  </connection>
  <connection id="2137" xr16:uid="{C9C2B680-7CD7-4359-A94D-CB7580EFDEF3}" keepAlive="1" name="連線553" type="5" refreshedVersion="8" background="1" saveData="1">
    <dbPr connection="Provider=Microsoft.Mashup.OleDb.1;Data Source=$Workbook$;Location=&quot;Table_2002_113_03&quot;;Extended Properties=&quot;&quot;" command="SELECT * FROM [Table_2002_113_03]"/>
  </connection>
  <connection id="2138" xr16:uid="{6ADCE215-09F8-4640-95C7-2E7630C9FD95}" keepAlive="1" name="連線554" type="5" refreshedVersion="8" background="1" saveData="1">
    <dbPr connection="Provider=Microsoft.Mashup.OleDb.1;Data Source=$Workbook$;Location=&quot;Table_2002_113_02&quot;;Extended Properties=&quot;&quot;" command="SELECT * FROM [Table_2002_113_02]"/>
  </connection>
  <connection id="2139" xr16:uid="{2B571FF7-67B6-44F1-B899-7973E792C06A}" keepAlive="1" name="連線555" type="5" refreshedVersion="8" background="1" saveData="1">
    <dbPr connection="Provider=Microsoft.Mashup.OleDb.1;Data Source=$Workbook$;Location=&quot;Table_2002_113_01&quot;;Extended Properties=&quot;&quot;" command="SELECT * FROM [Table_2002_113_01]"/>
  </connection>
  <connection id="2140" xr16:uid="{6A1B80A7-C108-4D78-844B-98761FD78299}" keepAlive="1" name="連線556" type="5" refreshedVersion="8" background="1" saveData="1">
    <dbPr connection="Provider=Microsoft.Mashup.OleDb.1;Data Source=$Workbook$;Location=&quot;Table_2882_113_03&quot;;Extended Properties=&quot;&quot;" command="SELECT * FROM [Table_2882_113_03]"/>
  </connection>
  <connection id="2141" xr16:uid="{AB0E04FF-9E20-4011-8938-1C2748F17E2E}" keepAlive="1" name="連線557" type="5" refreshedVersion="8" background="1" saveData="1">
    <dbPr connection="Provider=Microsoft.Mashup.OleDb.1;Data Source=$Workbook$;Location=&quot;Table_2882_113_02&quot;;Extended Properties=&quot;&quot;" command="SELECT * FROM [Table_2882_113_02]"/>
  </connection>
  <connection id="2142" xr16:uid="{2D3A8FA6-B716-47A8-9E66-4AC9523F7994}" keepAlive="1" name="連線558" type="5" refreshedVersion="8" background="1" saveData="1">
    <dbPr connection="Provider=Microsoft.Mashup.OleDb.1;Data Source=$Workbook$;Location=&quot;Table_2882_113_01&quot;;Extended Properties=&quot;&quot;" command="SELECT * FROM [Table_2882_113_01]"/>
  </connection>
  <connection id="2143" xr16:uid="{8C24D0D0-D50F-4C21-821A-B719691FA03B}" keepAlive="1" name="連線559" type="5" refreshedVersion="0" background="1">
    <dbPr connection="Provider=Microsoft.Mashup.OleDb.1;Data Source=$Workbook$;Location=&quot;Table_2330_113_03&quot;;Extended Properties=&quot;&quot;" commandType="0"/>
  </connection>
  <connection id="2144" xr16:uid="{99DA7CF7-2767-4E98-BEA1-0D611FC91BBD}" keepAlive="1" name="連線56" type="5" refreshedVersion="0" background="1">
    <dbPr connection="Provider=Microsoft.Mashup.OleDb.1;Data Source=$Workbook$;Location=&quot;Table_3&quot;;Extended Properties=&quot;&quot;" commandType="0"/>
  </connection>
  <connection id="2145" xr16:uid="{F6E74187-1C78-4978-B324-8B022A9D91F1}" keepAlive="1" name="連線560" type="5" refreshedVersion="0" background="1">
    <dbPr connection="Provider=Microsoft.Mashup.OleDb.1;Data Source=$Workbook$;Location=&quot;Table_2330_113_02&quot;;Extended Properties=&quot;&quot;" commandType="0"/>
  </connection>
  <connection id="2146" xr16:uid="{8660C77F-F503-43D6-A680-0E633F6C6617}" keepAlive="1" name="連線561" type="5" refreshedVersion="0" background="1">
    <dbPr connection="Provider=Microsoft.Mashup.OleDb.1;Data Source=$Workbook$;Location=&quot;Table_2330_113_01&quot;;Extended Properties=&quot;&quot;" commandType="0"/>
  </connection>
  <connection id="2147" xr16:uid="{EF67887E-D3C4-4475-B42C-62C9F2E1B2C9}" keepAlive="1" name="連線562" type="5" refreshedVersion="0" background="1">
    <dbPr connection="Provider=Microsoft.Mashup.OleDb.1;Data Source=$Workbook$;Location=&quot;Table_1101_113_03&quot;;Extended Properties=&quot;&quot;" commandType="0"/>
  </connection>
  <connection id="2148" xr16:uid="{5E36E022-7A69-40A0-93F1-DE794601D3CA}" keepAlive="1" name="連線563" type="5" refreshedVersion="0" background="1">
    <dbPr connection="Provider=Microsoft.Mashup.OleDb.1;Data Source=$Workbook$;Location=&quot;Table_1101_113_02&quot;;Extended Properties=&quot;&quot;" commandType="0"/>
  </connection>
  <connection id="2149" xr16:uid="{08B9E340-9AA2-41DE-A52E-D70D39417435}" keepAlive="1" name="連線564" type="5" refreshedVersion="0" background="1">
    <dbPr connection="Provider=Microsoft.Mashup.OleDb.1;Data Source=$Workbook$;Location=&quot;Table_1101_113_01&quot;;Extended Properties=&quot;&quot;" commandType="0"/>
  </connection>
  <connection id="2150" xr16:uid="{EDF52BF6-F6B6-441F-81DB-C6AE70D1AE76}" keepAlive="1" name="連線565" type="5" refreshedVersion="0" background="1">
    <dbPr connection="Provider=Microsoft.Mashup.OleDb.1;Data Source=$Workbook$;Location=&quot;Table_2912_113_03&quot;;Extended Properties=&quot;&quot;" commandType="0"/>
  </connection>
  <connection id="2151" xr16:uid="{A7E860BA-F3B2-41B3-80C7-E3127929800A}" keepAlive="1" name="連線566" type="5" refreshedVersion="0" background="1">
    <dbPr connection="Provider=Microsoft.Mashup.OleDb.1;Data Source=$Workbook$;Location=&quot;Table_2912_113_02&quot;;Extended Properties=&quot;&quot;" commandType="0"/>
  </connection>
  <connection id="2152" xr16:uid="{4A9B9C57-2150-461F-8738-BDA35C4E4857}" keepAlive="1" name="連線567" type="5" refreshedVersion="0" background="1">
    <dbPr connection="Provider=Microsoft.Mashup.OleDb.1;Data Source=$Workbook$;Location=&quot;Table_2912_113_01&quot;;Extended Properties=&quot;&quot;" commandType="0"/>
  </connection>
  <connection id="2153" xr16:uid="{BE88AEDD-7E15-4EDB-9A69-0F6594A80CF6}" keepAlive="1" name="連線568" type="5" refreshedVersion="0" background="1">
    <dbPr connection="Provider=Microsoft.Mashup.OleDb.1;Data Source=$Workbook$;Location=&quot;Table_2002_113_03&quot;;Extended Properties=&quot;&quot;" commandType="0"/>
  </connection>
  <connection id="2154" xr16:uid="{618DBEC1-12DE-4596-B53C-104FA35070ED}" keepAlive="1" name="連線569" type="5" refreshedVersion="0" background="1">
    <dbPr connection="Provider=Microsoft.Mashup.OleDb.1;Data Source=$Workbook$;Location=&quot;Table_2002_113_02&quot;;Extended Properties=&quot;&quot;" commandType="0"/>
  </connection>
  <connection id="2155" xr16:uid="{A82FF354-AFD9-47C0-A3A2-D963E12DA24D}" keepAlive="1" name="連線57" type="5" refreshedVersion="0" background="1">
    <dbPr connection="Provider=Microsoft.Mashup.OleDb.1;Data Source=$Workbook$;Location=&quot;Table_4&quot;;Extended Properties=&quot;&quot;" commandType="0"/>
  </connection>
  <connection id="2156" xr16:uid="{F4C58B89-8678-4B5B-8BE9-25B43747AC57}" keepAlive="1" name="連線570" type="5" refreshedVersion="0" background="1">
    <dbPr connection="Provider=Microsoft.Mashup.OleDb.1;Data Source=$Workbook$;Location=&quot;Table_2002_113_01&quot;;Extended Properties=&quot;&quot;" commandType="0"/>
  </connection>
  <connection id="2157" xr16:uid="{47E9673B-CEB0-4DDF-80D3-6409A1C2E0C2}" keepAlive="1" name="連線571" type="5" refreshedVersion="0" background="1">
    <dbPr connection="Provider=Microsoft.Mashup.OleDb.1;Data Source=$Workbook$;Location=&quot;Table_2882_113_03&quot;;Extended Properties=&quot;&quot;" commandType="0"/>
  </connection>
  <connection id="2158" xr16:uid="{CAA84919-58BA-482A-9A6E-35983CA8762F}" keepAlive="1" name="連線572" type="5" refreshedVersion="0" background="1">
    <dbPr connection="Provider=Microsoft.Mashup.OleDb.1;Data Source=$Workbook$;Location=&quot;Table_2882_113_02&quot;;Extended Properties=&quot;&quot;" commandType="0"/>
  </connection>
  <connection id="2159" xr16:uid="{B436C557-9CE7-4AEF-8555-94F9FEC7BF9B}" keepAlive="1" name="連線573" type="5" refreshedVersion="0" background="1">
    <dbPr connection="Provider=Microsoft.Mashup.OleDb.1;Data Source=$Workbook$;Location=&quot;Table_2882_113_01&quot;;Extended Properties=&quot;&quot;" commandType="0"/>
  </connection>
  <connection id="2160" xr16:uid="{8B0EB7B6-1C51-458D-B7E7-1450D90E1CB5}" keepAlive="1" name="連線574" type="5" refreshedVersion="8" background="1" saveData="1">
    <dbPr connection="Provider=Microsoft.Mashup.OleDb.1;Data Source=$Workbook$;Location=&quot;Table_2330_113_03&quot;;Extended Properties=&quot;&quot;" command="SELECT * FROM [Table_2330_113_03]"/>
  </connection>
  <connection id="2161" xr16:uid="{45A49E46-34EF-40E7-8FF6-08055E60668F}" keepAlive="1" name="連線575" type="5" refreshedVersion="8" background="1" saveData="1">
    <dbPr connection="Provider=Microsoft.Mashup.OleDb.1;Data Source=$Workbook$;Location=&quot;Table_2330_113_02&quot;;Extended Properties=&quot;&quot;" command="SELECT * FROM [Table_2330_113_02]"/>
  </connection>
  <connection id="2162" xr16:uid="{3F49C734-48E2-4574-B25F-92683EF3761E}" keepAlive="1" name="連線576" type="5" refreshedVersion="8" background="1" saveData="1">
    <dbPr connection="Provider=Microsoft.Mashup.OleDb.1;Data Source=$Workbook$;Location=&quot;Table_2330_113_01&quot;;Extended Properties=&quot;&quot;" command="SELECT * FROM [Table_2330_113_01]"/>
  </connection>
  <connection id="2163" xr16:uid="{8EC62CFC-51F8-415D-8C1A-5BB3FCBBAA0F}" keepAlive="1" name="連線577" type="5" refreshedVersion="8" background="1" saveData="1">
    <dbPr connection="Provider=Microsoft.Mashup.OleDb.1;Data Source=$Workbook$;Location=&quot;Table_1101_113_03&quot;;Extended Properties=&quot;&quot;" command="SELECT * FROM [Table_1101_113_03]"/>
  </connection>
  <connection id="2164" xr16:uid="{E3A01191-3E0F-4A28-A6F8-3C3928C93A65}" keepAlive="1" name="連線578" type="5" refreshedVersion="8" background="1" saveData="1">
    <dbPr connection="Provider=Microsoft.Mashup.OleDb.1;Data Source=$Workbook$;Location=&quot;Table_1101_113_02&quot;;Extended Properties=&quot;&quot;" command="SELECT * FROM [Table_1101_113_02]"/>
  </connection>
  <connection id="2165" xr16:uid="{9B4DCD1B-1E2D-4B5B-B8D3-4D1814F6397A}" keepAlive="1" name="連線579" type="5" refreshedVersion="8" background="1" saveData="1">
    <dbPr connection="Provider=Microsoft.Mashup.OleDb.1;Data Source=$Workbook$;Location=&quot;Table_1101_113_01&quot;;Extended Properties=&quot;&quot;" command="SELECT * FROM [Table_1101_113_01]"/>
  </connection>
  <connection id="2166" xr16:uid="{79A6BA6B-E910-49BD-82B1-1CD63F6DC4B9}" keepAlive="1" name="連線58" type="5" refreshedVersion="0" background="1">
    <dbPr connection="Provider=Microsoft.Mashup.OleDb.1;Data Source=$Workbook$;Location=&quot;Table_5&quot;;Extended Properties=&quot;&quot;" commandType="0"/>
  </connection>
  <connection id="2167" xr16:uid="{B2D2B0FE-91CC-4B12-8609-8636ACD68697}" keepAlive="1" name="連線580" type="5" refreshedVersion="8" background="1" saveData="1">
    <dbPr connection="Provider=Microsoft.Mashup.OleDb.1;Data Source=$Workbook$;Location=&quot;Table_2912_113_03&quot;;Extended Properties=&quot;&quot;" command="SELECT * FROM [Table_2912_113_03]"/>
  </connection>
  <connection id="2168" xr16:uid="{FE012E79-5B4A-4FAB-ACC7-F2FCEC0F1091}" keepAlive="1" name="連線581" type="5" refreshedVersion="8" background="1" saveData="1">
    <dbPr connection="Provider=Microsoft.Mashup.OleDb.1;Data Source=$Workbook$;Location=&quot;Table_2912_113_02&quot;;Extended Properties=&quot;&quot;" command="SELECT * FROM [Table_2912_113_02]"/>
  </connection>
  <connection id="2169" xr16:uid="{A7150F81-AD96-4EBA-BEB9-102ED20A5E43}" keepAlive="1" name="連線582" type="5" refreshedVersion="8" background="1" saveData="1">
    <dbPr connection="Provider=Microsoft.Mashup.OleDb.1;Data Source=$Workbook$;Location=&quot;Table_2912_113_01&quot;;Extended Properties=&quot;&quot;" command="SELECT * FROM [Table_2912_113_01]"/>
  </connection>
  <connection id="2170" xr16:uid="{E61B0ABE-DFBD-4169-B3EB-B61DE863507E}" keepAlive="1" name="連線583" type="5" refreshedVersion="8" background="1" saveData="1">
    <dbPr connection="Provider=Microsoft.Mashup.OleDb.1;Data Source=$Workbook$;Location=&quot;Table_2002_113_03&quot;;Extended Properties=&quot;&quot;" command="SELECT * FROM [Table_2002_113_03]"/>
  </connection>
  <connection id="2171" xr16:uid="{63B49DB9-646A-4393-A1EB-7F9BEC56D2BF}" keepAlive="1" name="連線584" type="5" refreshedVersion="8" background="1" saveData="1">
    <dbPr connection="Provider=Microsoft.Mashup.OleDb.1;Data Source=$Workbook$;Location=&quot;Table_2002_113_02&quot;;Extended Properties=&quot;&quot;" command="SELECT * FROM [Table_2002_113_02]"/>
  </connection>
  <connection id="2172" xr16:uid="{AF5A31F2-E14B-446F-9089-29B621C4BF0A}" keepAlive="1" name="連線585" type="5" refreshedVersion="8" background="1" saveData="1">
    <dbPr connection="Provider=Microsoft.Mashup.OleDb.1;Data Source=$Workbook$;Location=&quot;Table_2002_113_01&quot;;Extended Properties=&quot;&quot;" command="SELECT * FROM [Table_2002_113_01]"/>
  </connection>
  <connection id="2173" xr16:uid="{5F27E7F8-AD18-4DE8-B7AF-2CDB5974560C}" keepAlive="1" name="連線586" type="5" refreshedVersion="8" background="1" saveData="1">
    <dbPr connection="Provider=Microsoft.Mashup.OleDb.1;Data Source=$Workbook$;Location=&quot;Table_2882_113_03&quot;;Extended Properties=&quot;&quot;" command="SELECT * FROM [Table_2882_113_03]"/>
  </connection>
  <connection id="2174" xr16:uid="{36342005-00D5-49EA-994F-0064921D76CD}" keepAlive="1" name="連線587" type="5" refreshedVersion="8" background="1" saveData="1">
    <dbPr connection="Provider=Microsoft.Mashup.OleDb.1;Data Source=$Workbook$;Location=&quot;Table_2882_113_02&quot;;Extended Properties=&quot;&quot;" command="SELECT * FROM [Table_2882_113_02]"/>
  </connection>
  <connection id="2175" xr16:uid="{A2518A88-8721-4B64-A855-9C0742C77EE8}" keepAlive="1" name="連線588" type="5" refreshedVersion="8" background="1" saveData="1">
    <dbPr connection="Provider=Microsoft.Mashup.OleDb.1;Data Source=$Workbook$;Location=&quot;Table_2882_113_01&quot;;Extended Properties=&quot;&quot;" command="SELECT * FROM [Table_2882_113_01]"/>
  </connection>
  <connection id="2176" xr16:uid="{BD014637-1262-492E-91FB-5B792F1C6E50}" keepAlive="1" name="連線589" type="5" refreshedVersion="0" background="1">
    <dbPr connection="Provider=Microsoft.Mashup.OleDb.1;Data Source=$Workbook$;Location=&quot;Table_2330_113_03&quot;;Extended Properties=&quot;&quot;" commandType="0"/>
  </connection>
  <connection id="2177" xr16:uid="{7F2604FD-DBBA-442C-9101-80F1D3845D9F}" keepAlive="1" name="連線59" type="5" refreshedVersion="0" background="1">
    <dbPr connection="Provider=Microsoft.Mashup.OleDb.1;Data Source=$Workbook$;Location=&quot;Table_6&quot;;Extended Properties=&quot;&quot;" commandType="0"/>
  </connection>
  <connection id="2178" xr16:uid="{972BC482-2E07-4376-915C-AB18B02879E0}" keepAlive="1" name="連線590" type="5" refreshedVersion="0" background="1">
    <dbPr connection="Provider=Microsoft.Mashup.OleDb.1;Data Source=$Workbook$;Location=&quot;Table_2330_113_02&quot;;Extended Properties=&quot;&quot;" commandType="0"/>
  </connection>
  <connection id="2179" xr16:uid="{D9640FDA-2370-43E6-B0E0-FA3DAEBFBE2D}" keepAlive="1" name="連線591" type="5" refreshedVersion="0" background="1">
    <dbPr connection="Provider=Microsoft.Mashup.OleDb.1;Data Source=$Workbook$;Location=&quot;Table_2330_113_01&quot;;Extended Properties=&quot;&quot;" commandType="0"/>
  </connection>
  <connection id="2180" xr16:uid="{01B88091-594B-40E2-B008-1FBA40CD5B6F}" keepAlive="1" name="連線592" type="5" refreshedVersion="0" background="1">
    <dbPr connection="Provider=Microsoft.Mashup.OleDb.1;Data Source=$Workbook$;Location=&quot;Table_1101_113_03&quot;;Extended Properties=&quot;&quot;" commandType="0"/>
  </connection>
  <connection id="2181" xr16:uid="{BCA19270-30B2-477D-9309-94EE71CFDD5C}" keepAlive="1" name="連線593" type="5" refreshedVersion="0" background="1">
    <dbPr connection="Provider=Microsoft.Mashup.OleDb.1;Data Source=$Workbook$;Location=&quot;Table_1101_113_02&quot;;Extended Properties=&quot;&quot;" commandType="0"/>
  </connection>
  <connection id="2182" xr16:uid="{537A9ADB-ADF1-4FF2-8DB5-489AFE522E98}" keepAlive="1" name="連線594" type="5" refreshedVersion="0" background="1">
    <dbPr connection="Provider=Microsoft.Mashup.OleDb.1;Data Source=$Workbook$;Location=&quot;Table_1101_113_01&quot;;Extended Properties=&quot;&quot;" commandType="0"/>
  </connection>
  <connection id="2183" xr16:uid="{1F309760-EDC4-41FA-B32B-F6C4EDB9D5F2}" keepAlive="1" name="連線595" type="5" refreshedVersion="0" background="1">
    <dbPr connection="Provider=Microsoft.Mashup.OleDb.1;Data Source=$Workbook$;Location=&quot;Table_2912_113_03&quot;;Extended Properties=&quot;&quot;" commandType="0"/>
  </connection>
  <connection id="2184" xr16:uid="{9642D35F-AB0E-41A9-945C-83960090C247}" keepAlive="1" name="連線596" type="5" refreshedVersion="0" background="1">
    <dbPr connection="Provider=Microsoft.Mashup.OleDb.1;Data Source=$Workbook$;Location=&quot;Table_2912_113_02&quot;;Extended Properties=&quot;&quot;" commandType="0"/>
  </connection>
  <connection id="2185" xr16:uid="{89D9ADB2-0454-4E20-9388-6F359986CF42}" keepAlive="1" name="連線597" type="5" refreshedVersion="0" background="1">
    <dbPr connection="Provider=Microsoft.Mashup.OleDb.1;Data Source=$Workbook$;Location=&quot;Table_2912_113_01&quot;;Extended Properties=&quot;&quot;" commandType="0"/>
  </connection>
  <connection id="2186" xr16:uid="{73C61547-4B1B-4C01-B442-4928FA99A3C9}" keepAlive="1" name="連線598" type="5" refreshedVersion="0" background="1">
    <dbPr connection="Provider=Microsoft.Mashup.OleDb.1;Data Source=$Workbook$;Location=&quot;Table_2002_113_03&quot;;Extended Properties=&quot;&quot;" commandType="0"/>
  </connection>
  <connection id="2187" xr16:uid="{7D35BB29-DFFD-49F4-B799-2E7231CBEA0C}" keepAlive="1" name="連線599" type="5" refreshedVersion="0" background="1">
    <dbPr connection="Provider=Microsoft.Mashup.OleDb.1;Data Source=$Workbook$;Location=&quot;Table_2002_113_02&quot;;Extended Properties=&quot;&quot;" commandType="0"/>
  </connection>
  <connection id="2188" xr16:uid="{30057F13-31BF-4954-94AD-3D4C0D7E8268}" keepAlive="1" name="連線6" type="5" refreshedVersion="0" background="1">
    <dbPr connection="Provider=Microsoft.Mashup.OleDb.1;Data Source=$Workbook$;Location=&quot;Table 4&quot;;Extended Properties=&quot;&quot;" commandType="0"/>
  </connection>
  <connection id="2189" xr16:uid="{3D1BDF7B-E1F6-4C73-B441-3DE6F5C6CEAE}" keepAlive="1" name="連線60" type="5" refreshedVersion="0" background="1">
    <dbPr connection="Provider=Microsoft.Mashup.OleDb.1;Data Source=$Workbook$;Location=&quot;Table_7&quot;;Extended Properties=&quot;&quot;" commandType="0"/>
  </connection>
  <connection id="2190" xr16:uid="{E2CCE947-7081-4B63-8F53-E2ED26D2316B}" keepAlive="1" name="連線600" type="5" refreshedVersion="0" background="1">
    <dbPr connection="Provider=Microsoft.Mashup.OleDb.1;Data Source=$Workbook$;Location=&quot;Table_2002_113_01&quot;;Extended Properties=&quot;&quot;" commandType="0"/>
  </connection>
  <connection id="2191" xr16:uid="{913F6AE6-B9AD-418B-B80E-29F98E55AEF9}" keepAlive="1" name="連線601" type="5" refreshedVersion="0" background="1">
    <dbPr connection="Provider=Microsoft.Mashup.OleDb.1;Data Source=$Workbook$;Location=&quot;Table_2882_113_03&quot;;Extended Properties=&quot;&quot;" commandType="0"/>
  </connection>
  <connection id="2192" xr16:uid="{39287375-1D91-4AFE-B851-2568CCC7D9CC}" keepAlive="1" name="連線602" type="5" refreshedVersion="0" background="1">
    <dbPr connection="Provider=Microsoft.Mashup.OleDb.1;Data Source=$Workbook$;Location=&quot;Table_2882_113_02&quot;;Extended Properties=&quot;&quot;" commandType="0"/>
  </connection>
  <connection id="2193" xr16:uid="{49D3FC85-20DE-4D72-9745-1514805A6D73}" keepAlive="1" name="連線603" type="5" refreshedVersion="0" background="1">
    <dbPr connection="Provider=Microsoft.Mashup.OleDb.1;Data Source=$Workbook$;Location=&quot;Table_2882_113_01&quot;;Extended Properties=&quot;&quot;" commandType="0"/>
  </connection>
  <connection id="2194" xr16:uid="{FFCEAF6B-652E-46C1-9756-19AF48BE0641}" keepAlive="1" name="連線604" type="5" refreshedVersion="0" background="1">
    <dbPr connection="Provider=Microsoft.Mashup.OleDb.1;Data Source=$Workbook$;Location=&quot;Table_2330_113_03&quot;;Extended Properties=&quot;&quot;" commandType="0"/>
  </connection>
  <connection id="2195" xr16:uid="{A6BC273C-92A6-4164-A2F8-3941ED31F649}" keepAlive="1" name="連線605" type="5" refreshedVersion="0" background="1">
    <dbPr connection="Provider=Microsoft.Mashup.OleDb.1;Data Source=$Workbook$;Location=&quot;Table_2330_113_02&quot;;Extended Properties=&quot;&quot;" commandType="0"/>
  </connection>
  <connection id="2196" xr16:uid="{D35F7CA0-825C-4B9E-9367-8AD1B2BCB03D}" keepAlive="1" name="連線606" type="5" refreshedVersion="0" background="1">
    <dbPr connection="Provider=Microsoft.Mashup.OleDb.1;Data Source=$Workbook$;Location=&quot;Table_2330_113_01&quot;;Extended Properties=&quot;&quot;" commandType="0"/>
  </connection>
  <connection id="2197" xr16:uid="{67322229-CAC8-4A59-8F4C-F108F4F06938}" keepAlive="1" name="連線607" type="5" refreshedVersion="0" background="1">
    <dbPr connection="Provider=Microsoft.Mashup.OleDb.1;Data Source=$Workbook$;Location=&quot;Table_1101_113_03&quot;;Extended Properties=&quot;&quot;" commandType="0"/>
  </connection>
  <connection id="2198" xr16:uid="{3C76DFDB-7589-441E-82AC-13EEDF901128}" keepAlive="1" name="連線608" type="5" refreshedVersion="0" background="1">
    <dbPr connection="Provider=Microsoft.Mashup.OleDb.1;Data Source=$Workbook$;Location=&quot;Table_1101_113_02&quot;;Extended Properties=&quot;&quot;" commandType="0"/>
  </connection>
  <connection id="2199" xr16:uid="{EF4C633C-A5AD-4008-BB3A-7C1A149C5F75}" keepAlive="1" name="連線609" type="5" refreshedVersion="0" background="1">
    <dbPr connection="Provider=Microsoft.Mashup.OleDb.1;Data Source=$Workbook$;Location=&quot;Table_1101_113_01&quot;;Extended Properties=&quot;&quot;" commandType="0"/>
  </connection>
  <connection id="2200" xr16:uid="{996B0A71-D7E7-446C-88CA-A9B3196D276C}" keepAlive="1" name="連線61" type="5" refreshedVersion="0" background="1">
    <dbPr connection="Provider=Microsoft.Mashup.OleDb.1;Data Source=$Workbook$;Location=&quot;Table_3&quot;;Extended Properties=&quot;&quot;" commandType="0"/>
  </connection>
  <connection id="2201" xr16:uid="{C8CEFC8C-24BD-45FD-879D-5A05E452D786}" keepAlive="1" name="連線610" type="5" refreshedVersion="0" background="1">
    <dbPr connection="Provider=Microsoft.Mashup.OleDb.1;Data Source=$Workbook$;Location=&quot;Table_2912_113_03&quot;;Extended Properties=&quot;&quot;" commandType="0"/>
  </connection>
  <connection id="2202" xr16:uid="{B669CDA0-56B8-4384-BF35-C3160A62B8B7}" keepAlive="1" name="連線611" type="5" refreshedVersion="0" background="1">
    <dbPr connection="Provider=Microsoft.Mashup.OleDb.1;Data Source=$Workbook$;Location=&quot;Table_2912_113_02&quot;;Extended Properties=&quot;&quot;" commandType="0"/>
  </connection>
  <connection id="2203" xr16:uid="{E4942DE9-EC0F-4253-A9D4-AFAC43A80575}" keepAlive="1" name="連線612" type="5" refreshedVersion="0" background="1">
    <dbPr connection="Provider=Microsoft.Mashup.OleDb.1;Data Source=$Workbook$;Location=&quot;Table_2912_113_01&quot;;Extended Properties=&quot;&quot;" commandType="0"/>
  </connection>
  <connection id="2204" xr16:uid="{318DEDF1-4118-4A5D-A3AC-324D8A00D4ED}" keepAlive="1" name="連線613" type="5" refreshedVersion="0" background="1">
    <dbPr connection="Provider=Microsoft.Mashup.OleDb.1;Data Source=$Workbook$;Location=&quot;Table_2002_113_03&quot;;Extended Properties=&quot;&quot;" commandType="0"/>
  </connection>
  <connection id="2205" xr16:uid="{FB2E6875-B41B-4246-9B2D-4B2EC6CE39C9}" keepAlive="1" name="連線614" type="5" refreshedVersion="0" background="1">
    <dbPr connection="Provider=Microsoft.Mashup.OleDb.1;Data Source=$Workbook$;Location=&quot;Table_2002_113_02&quot;;Extended Properties=&quot;&quot;" commandType="0"/>
  </connection>
  <connection id="2206" xr16:uid="{300A4CEB-DA8E-4FEC-B982-936AE0FF588B}" keepAlive="1" name="連線615" type="5" refreshedVersion="0" background="1">
    <dbPr connection="Provider=Microsoft.Mashup.OleDb.1;Data Source=$Workbook$;Location=&quot;Table_2002_113_01&quot;;Extended Properties=&quot;&quot;" commandType="0"/>
  </connection>
  <connection id="2207" xr16:uid="{BB1783E1-38CD-4C07-ACA8-05AE36B80F64}" keepAlive="1" name="連線616" type="5" refreshedVersion="0" background="1">
    <dbPr connection="Provider=Microsoft.Mashup.OleDb.1;Data Source=$Workbook$;Location=&quot;Table_2882_113_03&quot;;Extended Properties=&quot;&quot;" commandType="0"/>
  </connection>
  <connection id="2208" xr16:uid="{95F3EA6A-52AD-4085-908E-44309D8F80A5}" keepAlive="1" name="連線617" type="5" refreshedVersion="0" background="1">
    <dbPr connection="Provider=Microsoft.Mashup.OleDb.1;Data Source=$Workbook$;Location=&quot;Table_2882_113_02&quot;;Extended Properties=&quot;&quot;" commandType="0"/>
  </connection>
  <connection id="2209" xr16:uid="{A5304D13-13E6-4616-9499-240829ED8DFE}" keepAlive="1" name="連線618" type="5" refreshedVersion="0" background="1">
    <dbPr connection="Provider=Microsoft.Mashup.OleDb.1;Data Source=$Workbook$;Location=&quot;Table_2882_113_01&quot;;Extended Properties=&quot;&quot;" commandType="0"/>
  </connection>
  <connection id="2210" xr16:uid="{B620CE4B-B0E5-4406-9A1D-B83F12B3D0EA}" keepAlive="1" name="連線619" type="5" refreshedVersion="0" background="1">
    <dbPr connection="Provider=Microsoft.Mashup.OleDb.1;Data Source=$Workbook$;Location=&quot;Table_2330_113_03&quot;;Extended Properties=&quot;&quot;" commandType="0"/>
  </connection>
  <connection id="2211" xr16:uid="{9314DAF5-8E6B-4085-803C-AC06551361B7}" keepAlive="1" name="連線62" type="5" refreshedVersion="0" background="1">
    <dbPr connection="Provider=Microsoft.Mashup.OleDb.1;Data Source=$Workbook$;Location=&quot;Table_4&quot;;Extended Properties=&quot;&quot;" commandType="0"/>
  </connection>
  <connection id="2212" xr16:uid="{0036C48F-12C1-4BFE-9572-8016CDD23651}" keepAlive="1" name="連線620" type="5" refreshedVersion="0" background="1">
    <dbPr connection="Provider=Microsoft.Mashup.OleDb.1;Data Source=$Workbook$;Location=&quot;Table_2330_113_02&quot;;Extended Properties=&quot;&quot;" commandType="0"/>
  </connection>
  <connection id="2213" xr16:uid="{A598B97D-232D-4A68-854E-B08EC320684B}" keepAlive="1" name="連線621" type="5" refreshedVersion="0" background="1">
    <dbPr connection="Provider=Microsoft.Mashup.OleDb.1;Data Source=$Workbook$;Location=&quot;Table_2330_113_01&quot;;Extended Properties=&quot;&quot;" commandType="0"/>
  </connection>
  <connection id="2214" xr16:uid="{1D285B83-6DB1-4A1A-BD7C-A89B58331938}" keepAlive="1" name="連線622" type="5" refreshedVersion="0" background="1">
    <dbPr connection="Provider=Microsoft.Mashup.OleDb.1;Data Source=$Workbook$;Location=&quot;Table_1101_113_03&quot;;Extended Properties=&quot;&quot;" commandType="0"/>
  </connection>
  <connection id="2215" xr16:uid="{D0BD6C4E-DDE8-4F4E-928A-684A6C307CDC}" keepAlive="1" name="連線623" type="5" refreshedVersion="0" background="1">
    <dbPr connection="Provider=Microsoft.Mashup.OleDb.1;Data Source=$Workbook$;Location=&quot;Table_1101_113_02&quot;;Extended Properties=&quot;&quot;" commandType="0"/>
  </connection>
  <connection id="2216" xr16:uid="{BAF747F3-A01C-42FF-8F9D-8E522FFC80F7}" keepAlive="1" name="連線624" type="5" refreshedVersion="0" background="1">
    <dbPr connection="Provider=Microsoft.Mashup.OleDb.1;Data Source=$Workbook$;Location=&quot;Table_1101_113_01&quot;;Extended Properties=&quot;&quot;" commandType="0"/>
  </connection>
  <connection id="2217" xr16:uid="{D8B737EF-D124-4640-8AE4-560BBE640E28}" keepAlive="1" name="連線625" type="5" refreshedVersion="0" background="1">
    <dbPr connection="Provider=Microsoft.Mashup.OleDb.1;Data Source=$Workbook$;Location=&quot;Table_2912_113_03&quot;;Extended Properties=&quot;&quot;" commandType="0"/>
  </connection>
  <connection id="2218" xr16:uid="{35F506F9-F326-40BA-A562-823D8FA66A77}" keepAlive="1" name="連線626" type="5" refreshedVersion="0" background="1">
    <dbPr connection="Provider=Microsoft.Mashup.OleDb.1;Data Source=$Workbook$;Location=&quot;Table_2912_113_02&quot;;Extended Properties=&quot;&quot;" commandType="0"/>
  </connection>
  <connection id="2219" xr16:uid="{108554F8-7A0E-4820-BE4D-2FB159B00C2C}" keepAlive="1" name="連線627" type="5" refreshedVersion="0" background="1">
    <dbPr connection="Provider=Microsoft.Mashup.OleDb.1;Data Source=$Workbook$;Location=&quot;Table_2912_113_01&quot;;Extended Properties=&quot;&quot;" commandType="0"/>
  </connection>
  <connection id="2220" xr16:uid="{C38E37B6-27BC-4B62-9F4A-070041DC9F15}" keepAlive="1" name="連線628" type="5" refreshedVersion="0" background="1">
    <dbPr connection="Provider=Microsoft.Mashup.OleDb.1;Data Source=$Workbook$;Location=&quot;Table_2002_113_03&quot;;Extended Properties=&quot;&quot;" commandType="0"/>
  </connection>
  <connection id="2221" xr16:uid="{347AB5C6-4F21-47BB-9553-BB12975BE451}" keepAlive="1" name="連線629" type="5" refreshedVersion="0" background="1">
    <dbPr connection="Provider=Microsoft.Mashup.OleDb.1;Data Source=$Workbook$;Location=&quot;Table_2002_113_02&quot;;Extended Properties=&quot;&quot;" commandType="0"/>
  </connection>
  <connection id="2222" xr16:uid="{3E598CCF-335D-444E-8E1A-D28AEF1E19D0}" keepAlive="1" name="連線63" type="5" refreshedVersion="0" background="1">
    <dbPr connection="Provider=Microsoft.Mashup.OleDb.1;Data Source=$Workbook$;Location=&quot;Table_5&quot;;Extended Properties=&quot;&quot;" commandType="0"/>
  </connection>
  <connection id="2223" xr16:uid="{21D0EA10-F1B4-4CDA-A4EB-8A494ADA4286}" keepAlive="1" name="連線630" type="5" refreshedVersion="0" background="1">
    <dbPr connection="Provider=Microsoft.Mashup.OleDb.1;Data Source=$Workbook$;Location=&quot;Table_2002_113_01&quot;;Extended Properties=&quot;&quot;" commandType="0"/>
  </connection>
  <connection id="2224" xr16:uid="{D193C785-25D2-4A35-BEC4-DA943339F120}" keepAlive="1" name="連線631" type="5" refreshedVersion="0" background="1">
    <dbPr connection="Provider=Microsoft.Mashup.OleDb.1;Data Source=$Workbook$;Location=&quot;Table_2882_113_03&quot;;Extended Properties=&quot;&quot;" commandType="0"/>
  </connection>
  <connection id="2225" xr16:uid="{E749A7B0-D65A-41F9-A332-3E2760A6160D}" keepAlive="1" name="連線632" type="5" refreshedVersion="0" background="1">
    <dbPr connection="Provider=Microsoft.Mashup.OleDb.1;Data Source=$Workbook$;Location=&quot;Table_2882_113_02&quot;;Extended Properties=&quot;&quot;" commandType="0"/>
  </connection>
  <connection id="2226" xr16:uid="{0781698D-9D89-479D-95E5-3796748688E4}" keepAlive="1" name="連線633" type="5" refreshedVersion="0" background="1">
    <dbPr connection="Provider=Microsoft.Mashup.OleDb.1;Data Source=$Workbook$;Location=&quot;Table_2882_113_01&quot;;Extended Properties=&quot;&quot;" commandType="0"/>
  </connection>
  <connection id="2227" xr16:uid="{BD558DA6-2A91-416B-8F42-6E7CDCB98357}" keepAlive="1" name="連線634" type="5" refreshedVersion="0" background="1">
    <dbPr connection="Provider=Microsoft.Mashup.OleDb.1;Data Source=$Workbook$;Location=&quot;Table_2330_113_03&quot;;Extended Properties=&quot;&quot;" commandType="0"/>
  </connection>
  <connection id="2228" xr16:uid="{EBFDDAA6-690D-459C-8970-DBAB106CB0E1}" keepAlive="1" name="連線635" type="5" refreshedVersion="0" background="1">
    <dbPr connection="Provider=Microsoft.Mashup.OleDb.1;Data Source=$Workbook$;Location=&quot;Table_2330_113_02&quot;;Extended Properties=&quot;&quot;" commandType="0"/>
  </connection>
  <connection id="2229" xr16:uid="{6002523D-5B9A-41B6-B37A-99E639AD292E}" keepAlive="1" name="連線636" type="5" refreshedVersion="0" background="1">
    <dbPr connection="Provider=Microsoft.Mashup.OleDb.1;Data Source=$Workbook$;Location=&quot;Table_2330_113_01&quot;;Extended Properties=&quot;&quot;" commandType="0"/>
  </connection>
  <connection id="2230" xr16:uid="{FB06982F-AAC3-4A6F-B03A-EA6054A3C119}" keepAlive="1" name="連線637" type="5" refreshedVersion="0" background="1">
    <dbPr connection="Provider=Microsoft.Mashup.OleDb.1;Data Source=$Workbook$;Location=&quot;Table_1101_113_03&quot;;Extended Properties=&quot;&quot;" commandType="0"/>
  </connection>
  <connection id="2231" xr16:uid="{CC90B7AD-E75F-4F12-BA30-DB5FC72C31CA}" keepAlive="1" name="連線638" type="5" refreshedVersion="0" background="1">
    <dbPr connection="Provider=Microsoft.Mashup.OleDb.1;Data Source=$Workbook$;Location=&quot;Table_1101_113_02&quot;;Extended Properties=&quot;&quot;" commandType="0"/>
  </connection>
  <connection id="2232" xr16:uid="{8C148063-0E1B-4C75-9F4B-F61A577FD0CE}" keepAlive="1" name="連線639" type="5" refreshedVersion="0" background="1">
    <dbPr connection="Provider=Microsoft.Mashup.OleDb.1;Data Source=$Workbook$;Location=&quot;Table_1101_113_01&quot;;Extended Properties=&quot;&quot;" commandType="0"/>
  </connection>
  <connection id="2233" xr16:uid="{BE0EEA6D-D900-4A2F-9DE6-D906BA169006}" keepAlive="1" name="連線64" type="5" refreshedVersion="0" background="1">
    <dbPr connection="Provider=Microsoft.Mashup.OleDb.1;Data Source=$Workbook$;Location=&quot;Table_6&quot;;Extended Properties=&quot;&quot;" commandType="0"/>
  </connection>
  <connection id="2234" xr16:uid="{E1E4E828-3A1B-4A34-9DAE-5B8A912F8997}" keepAlive="1" name="連線640" type="5" refreshedVersion="0" background="1">
    <dbPr connection="Provider=Microsoft.Mashup.OleDb.1;Data Source=$Workbook$;Location=&quot;Table_2912_113_03&quot;;Extended Properties=&quot;&quot;" commandType="0"/>
  </connection>
  <connection id="2235" xr16:uid="{F0006602-A8E7-4C57-B309-05616FCFF762}" keepAlive="1" name="連線641" type="5" refreshedVersion="0" background="1">
    <dbPr connection="Provider=Microsoft.Mashup.OleDb.1;Data Source=$Workbook$;Location=&quot;Table_2912_113_02&quot;;Extended Properties=&quot;&quot;" commandType="0"/>
  </connection>
  <connection id="2236" xr16:uid="{A93E2449-8023-46FE-8196-0954AFBE3F28}" keepAlive="1" name="連線642" type="5" refreshedVersion="0" background="1">
    <dbPr connection="Provider=Microsoft.Mashup.OleDb.1;Data Source=$Workbook$;Location=&quot;Table_2912_113_01&quot;;Extended Properties=&quot;&quot;" commandType="0"/>
  </connection>
  <connection id="2237" xr16:uid="{87CF7FFA-53F6-42EE-8080-13C1498AAB9B}" keepAlive="1" name="連線643" type="5" refreshedVersion="0" background="1">
    <dbPr connection="Provider=Microsoft.Mashup.OleDb.1;Data Source=$Workbook$;Location=&quot;Table_2002_113_03&quot;;Extended Properties=&quot;&quot;" commandType="0"/>
  </connection>
  <connection id="2238" xr16:uid="{4AD1C6C6-6BE6-4825-B4B1-85624B78E394}" keepAlive="1" name="連線644" type="5" refreshedVersion="0" background="1">
    <dbPr connection="Provider=Microsoft.Mashup.OleDb.1;Data Source=$Workbook$;Location=&quot;Table_2002_113_02&quot;;Extended Properties=&quot;&quot;" commandType="0"/>
  </connection>
  <connection id="2239" xr16:uid="{01493886-6765-4DE6-AA01-999D42396C73}" keepAlive="1" name="連線645" type="5" refreshedVersion="0" background="1">
    <dbPr connection="Provider=Microsoft.Mashup.OleDb.1;Data Source=$Workbook$;Location=&quot;Table_2002_113_01&quot;;Extended Properties=&quot;&quot;" commandType="0"/>
  </connection>
  <connection id="2240" xr16:uid="{B94C027D-64B1-44A1-AEAE-B3B9CE7223AF}" keepAlive="1" name="連線646" type="5" refreshedVersion="0" background="1">
    <dbPr connection="Provider=Microsoft.Mashup.OleDb.1;Data Source=$Workbook$;Location=&quot;Table_2882_113_03&quot;;Extended Properties=&quot;&quot;" commandType="0"/>
  </connection>
  <connection id="2241" xr16:uid="{39239E92-4B00-4779-8CBF-80E7CFAC9539}" keepAlive="1" name="連線647" type="5" refreshedVersion="0" background="1">
    <dbPr connection="Provider=Microsoft.Mashup.OleDb.1;Data Source=$Workbook$;Location=&quot;Table_2882_113_02&quot;;Extended Properties=&quot;&quot;" commandType="0"/>
  </connection>
  <connection id="2242" xr16:uid="{493972B0-C30B-4197-B11B-3B5E21421701}" keepAlive="1" name="連線648" type="5" refreshedVersion="0" background="1">
    <dbPr connection="Provider=Microsoft.Mashup.OleDb.1;Data Source=$Workbook$;Location=&quot;Table_2882_113_01&quot;;Extended Properties=&quot;&quot;" commandType="0"/>
  </connection>
  <connection id="2243" xr16:uid="{1DF3B4F3-2CD4-4B70-A8C6-8143842EA7E3}" keepAlive="1" name="連線649" type="5" refreshedVersion="0" background="1">
    <dbPr connection="Provider=Microsoft.Mashup.OleDb.1;Data Source=$Workbook$;Location=&quot;Table_2330_113_03&quot;;Extended Properties=&quot;&quot;" commandType="0"/>
  </connection>
  <connection id="2244" xr16:uid="{CF0035A1-7385-4DB5-A3A3-3A069AF6A20F}" keepAlive="1" name="連線65" type="5" refreshedVersion="0" background="1">
    <dbPr connection="Provider=Microsoft.Mashup.OleDb.1;Data Source=$Workbook$;Location=&quot;Table_7&quot;;Extended Properties=&quot;&quot;" commandType="0"/>
  </connection>
  <connection id="2245" xr16:uid="{50D7DC0A-3B1B-4863-9786-D382821F7358}" keepAlive="1" name="連線650" type="5" refreshedVersion="0" background="1">
    <dbPr connection="Provider=Microsoft.Mashup.OleDb.1;Data Source=$Workbook$;Location=&quot;Table_2330_113_02&quot;;Extended Properties=&quot;&quot;" commandType="0"/>
  </connection>
  <connection id="2246" xr16:uid="{3D3C5782-0A84-408C-9388-F8E93D067C69}" keepAlive="1" name="連線651" type="5" refreshedVersion="0" background="1">
    <dbPr connection="Provider=Microsoft.Mashup.OleDb.1;Data Source=$Workbook$;Location=&quot;Table_2330_113_01&quot;;Extended Properties=&quot;&quot;" commandType="0"/>
  </connection>
  <connection id="2247" xr16:uid="{A9DF8EF4-379E-4209-8200-1DA9427D4407}" keepAlive="1" name="連線652" type="5" refreshedVersion="0" background="1">
    <dbPr connection="Provider=Microsoft.Mashup.OleDb.1;Data Source=$Workbook$;Location=&quot;Table_1101_113_03&quot;;Extended Properties=&quot;&quot;" commandType="0"/>
  </connection>
  <connection id="2248" xr16:uid="{280D2418-34D6-4C65-82C8-77CE02949A57}" keepAlive="1" name="連線653" type="5" refreshedVersion="0" background="1">
    <dbPr connection="Provider=Microsoft.Mashup.OleDb.1;Data Source=$Workbook$;Location=&quot;Table_1101_113_02&quot;;Extended Properties=&quot;&quot;" commandType="0"/>
  </connection>
  <connection id="2249" xr16:uid="{C8301378-9931-4A06-A707-363A874EA71F}" keepAlive="1" name="連線654" type="5" refreshedVersion="0" background="1">
    <dbPr connection="Provider=Microsoft.Mashup.OleDb.1;Data Source=$Workbook$;Location=&quot;Table_1101_113_01&quot;;Extended Properties=&quot;&quot;" commandType="0"/>
  </connection>
  <connection id="2250" xr16:uid="{F4E56175-B940-4640-9DA2-26691A1B69A9}" keepAlive="1" name="連線655" type="5" refreshedVersion="0" background="1">
    <dbPr connection="Provider=Microsoft.Mashup.OleDb.1;Data Source=$Workbook$;Location=&quot;Table_2912_113_03&quot;;Extended Properties=&quot;&quot;" commandType="0"/>
  </connection>
  <connection id="2251" xr16:uid="{50F596DE-DC7B-49DA-A3D1-FD7106AE771E}" keepAlive="1" name="連線656" type="5" refreshedVersion="0" background="1">
    <dbPr connection="Provider=Microsoft.Mashup.OleDb.1;Data Source=$Workbook$;Location=&quot;Table_2912_113_02&quot;;Extended Properties=&quot;&quot;" commandType="0"/>
  </connection>
  <connection id="2252" xr16:uid="{4835312E-86CC-4915-B229-6262743ABFF4}" keepAlive="1" name="連線657" type="5" refreshedVersion="0" background="1">
    <dbPr connection="Provider=Microsoft.Mashup.OleDb.1;Data Source=$Workbook$;Location=&quot;Table_2912_113_01&quot;;Extended Properties=&quot;&quot;" commandType="0"/>
  </connection>
  <connection id="2253" xr16:uid="{414BE18B-7D5F-40D2-8405-F81F1D18809E}" keepAlive="1" name="連線658" type="5" refreshedVersion="0" background="1">
    <dbPr connection="Provider=Microsoft.Mashup.OleDb.1;Data Source=$Workbook$;Location=&quot;Table_2002_113_03&quot;;Extended Properties=&quot;&quot;" commandType="0"/>
  </connection>
  <connection id="2254" xr16:uid="{516844BD-0B2E-42E4-995B-491F16C1879B}" keepAlive="1" name="連線659" type="5" refreshedVersion="0" background="1">
    <dbPr connection="Provider=Microsoft.Mashup.OleDb.1;Data Source=$Workbook$;Location=&quot;Table_2002_113_02&quot;;Extended Properties=&quot;&quot;" commandType="0"/>
  </connection>
  <connection id="2255" xr16:uid="{5E53AE51-C15F-4F7B-B94A-66A5654AD79F}" keepAlive="1" name="連線66" type="5" refreshedVersion="0" background="1">
    <dbPr connection="Provider=Microsoft.Mashup.OleDb.1;Data Source=$Workbook$;Location=&quot;Table_2330_113_01&quot;;Extended Properties=&quot;&quot;" commandType="0"/>
  </connection>
  <connection id="2256" xr16:uid="{2E821D6B-4DA5-4DEA-8A20-B75635009C90}" keepAlive="1" name="連線660" type="5" refreshedVersion="0" background="1">
    <dbPr connection="Provider=Microsoft.Mashup.OleDb.1;Data Source=$Workbook$;Location=&quot;Table_2002_113_01&quot;;Extended Properties=&quot;&quot;" commandType="0"/>
  </connection>
  <connection id="2257" xr16:uid="{306A8BC1-B298-4118-BCE2-43871307CAD8}" keepAlive="1" name="連線661" type="5" refreshedVersion="0" background="1">
    <dbPr connection="Provider=Microsoft.Mashup.OleDb.1;Data Source=$Workbook$;Location=&quot;Table_2882_113_03&quot;;Extended Properties=&quot;&quot;" commandType="0"/>
  </connection>
  <connection id="2258" xr16:uid="{4C2DBC01-643A-4311-BBD4-A82404A988EF}" keepAlive="1" name="連線662" type="5" refreshedVersion="0" background="1">
    <dbPr connection="Provider=Microsoft.Mashup.OleDb.1;Data Source=$Workbook$;Location=&quot;Table_2882_113_02&quot;;Extended Properties=&quot;&quot;" commandType="0"/>
  </connection>
  <connection id="2259" xr16:uid="{B9AF69EB-E27A-4608-B85E-91311EE9E624}" keepAlive="1" name="連線663" type="5" refreshedVersion="0" background="1">
    <dbPr connection="Provider=Microsoft.Mashup.OleDb.1;Data Source=$Workbook$;Location=&quot;Table_2882_113_01&quot;;Extended Properties=&quot;&quot;" commandType="0"/>
  </connection>
  <connection id="2260" xr16:uid="{E31311F8-2775-4047-BE30-B85048DE88BB}" keepAlive="1" name="連線664" type="5" refreshedVersion="0" background="1">
    <dbPr connection="Provider=Microsoft.Mashup.OleDb.1;Data Source=$Workbook$;Location=&quot;Table_2330_113_03&quot;;Extended Properties=&quot;&quot;" commandType="0"/>
  </connection>
  <connection id="2261" xr16:uid="{5138FC23-EAAC-4A54-B1F6-DE53DC4E259C}" keepAlive="1" name="連線665" type="5" refreshedVersion="0" background="1">
    <dbPr connection="Provider=Microsoft.Mashup.OleDb.1;Data Source=$Workbook$;Location=&quot;Table_2330_113_02&quot;;Extended Properties=&quot;&quot;" commandType="0"/>
  </connection>
  <connection id="2262" xr16:uid="{9674B1B4-B9EF-4ABD-B638-CAAEB5BD6BB6}" keepAlive="1" name="連線666" type="5" refreshedVersion="0" background="1">
    <dbPr connection="Provider=Microsoft.Mashup.OleDb.1;Data Source=$Workbook$;Location=&quot;Table_2330_113_01&quot;;Extended Properties=&quot;&quot;" commandType="0"/>
  </connection>
  <connection id="2263" xr16:uid="{E0ABB335-E26D-4846-8BEC-FBC3A80A4269}" keepAlive="1" name="連線667" type="5" refreshedVersion="0" background="1">
    <dbPr connection="Provider=Microsoft.Mashup.OleDb.1;Data Source=$Workbook$;Location=&quot;Table_1101_113_03&quot;;Extended Properties=&quot;&quot;" commandType="0"/>
  </connection>
  <connection id="2264" xr16:uid="{B20816CA-8F8A-4B87-9D57-2BD5D2435076}" keepAlive="1" name="連線668" type="5" refreshedVersion="0" background="1">
    <dbPr connection="Provider=Microsoft.Mashup.OleDb.1;Data Source=$Workbook$;Location=&quot;Table_1101_113_02&quot;;Extended Properties=&quot;&quot;" commandType="0"/>
  </connection>
  <connection id="2265" xr16:uid="{68A7CFD3-B962-47C4-9204-8B4638B94BD4}" keepAlive="1" name="連線669" type="5" refreshedVersion="0" background="1">
    <dbPr connection="Provider=Microsoft.Mashup.OleDb.1;Data Source=$Workbook$;Location=&quot;Table_1101_113_01&quot;;Extended Properties=&quot;&quot;" commandType="0"/>
  </connection>
  <connection id="2266" xr16:uid="{0986FD08-212F-4817-8FB2-C644C72BFA81}" keepAlive="1" name="連線67" type="5" refreshedVersion="0" background="1">
    <dbPr connection="Provider=Microsoft.Mashup.OleDb.1;Data Source=$Workbook$;Location=&quot;Table_2330_113_02&quot;;Extended Properties=&quot;&quot;" commandType="0"/>
  </connection>
  <connection id="2267" xr16:uid="{C03A1C18-6B5E-46DD-B5DC-4A4765F21DF6}" keepAlive="1" name="連線670" type="5" refreshedVersion="0" background="1">
    <dbPr connection="Provider=Microsoft.Mashup.OleDb.1;Data Source=$Workbook$;Location=&quot;Table_2912_113_03&quot;;Extended Properties=&quot;&quot;" commandType="0"/>
  </connection>
  <connection id="2268" xr16:uid="{8ABC62C1-5787-45B0-A4CC-531C332D7295}" keepAlive="1" name="連線671" type="5" refreshedVersion="0" background="1">
    <dbPr connection="Provider=Microsoft.Mashup.OleDb.1;Data Source=$Workbook$;Location=&quot;Table_2912_113_02&quot;;Extended Properties=&quot;&quot;" commandType="0"/>
  </connection>
  <connection id="2269" xr16:uid="{0D44B30C-0E42-4D45-81F7-3D86E39DA33C}" keepAlive="1" name="連線672" type="5" refreshedVersion="0" background="1">
    <dbPr connection="Provider=Microsoft.Mashup.OleDb.1;Data Source=$Workbook$;Location=&quot;Table_2912_113_01&quot;;Extended Properties=&quot;&quot;" commandType="0"/>
  </connection>
  <connection id="2270" xr16:uid="{833CF545-D731-46BF-BEC0-53915833ACCD}" keepAlive="1" name="連線673" type="5" refreshedVersion="0" background="1">
    <dbPr connection="Provider=Microsoft.Mashup.OleDb.1;Data Source=$Workbook$;Location=&quot;Table_2002_113_03&quot;;Extended Properties=&quot;&quot;" commandType="0"/>
  </connection>
  <connection id="2271" xr16:uid="{15AECC8E-05F8-47E3-993A-92E7AA45E33F}" keepAlive="1" name="連線674" type="5" refreshedVersion="0" background="1">
    <dbPr connection="Provider=Microsoft.Mashup.OleDb.1;Data Source=$Workbook$;Location=&quot;Table_2002_113_02&quot;;Extended Properties=&quot;&quot;" commandType="0"/>
  </connection>
  <connection id="2272" xr16:uid="{AF0786C0-654E-4434-8788-819C963BFCEC}" keepAlive="1" name="連線675" type="5" refreshedVersion="0" background="1">
    <dbPr connection="Provider=Microsoft.Mashup.OleDb.1;Data Source=$Workbook$;Location=&quot;Table_2002_113_01&quot;;Extended Properties=&quot;&quot;" commandType="0"/>
  </connection>
  <connection id="2273" xr16:uid="{7A725D9D-822D-49FA-B7E7-B4A81620644F}" keepAlive="1" name="連線676" type="5" refreshedVersion="0" background="1">
    <dbPr connection="Provider=Microsoft.Mashup.OleDb.1;Data Source=$Workbook$;Location=&quot;Table_2882_113_03&quot;;Extended Properties=&quot;&quot;" commandType="0"/>
  </connection>
  <connection id="2274" xr16:uid="{DFC5B295-191A-4E85-89F1-FDA91D877256}" keepAlive="1" name="連線677" type="5" refreshedVersion="0" background="1">
    <dbPr connection="Provider=Microsoft.Mashup.OleDb.1;Data Source=$Workbook$;Location=&quot;Table_2882_113_02&quot;;Extended Properties=&quot;&quot;" commandType="0"/>
  </connection>
  <connection id="2275" xr16:uid="{DB1682F0-3B73-4A0A-86D2-A47DA02C8892}" keepAlive="1" name="連線678" type="5" refreshedVersion="0" background="1">
    <dbPr connection="Provider=Microsoft.Mashup.OleDb.1;Data Source=$Workbook$;Location=&quot;Table_2882_113_01&quot;;Extended Properties=&quot;&quot;" commandType="0"/>
  </connection>
  <connection id="2276" xr16:uid="{FA0197E8-5CC5-44A0-867E-74FD476E9A3C}" keepAlive="1" name="連線679" type="5" refreshedVersion="0" background="1">
    <dbPr connection="Provider=Microsoft.Mashup.OleDb.1;Data Source=$Workbook$;Location=&quot;Table_2330_113_03&quot;;Extended Properties=&quot;&quot;" commandType="0"/>
  </connection>
  <connection id="2277" xr16:uid="{ED92BA19-B749-4C87-A5CC-93FAF3319AD0}" keepAlive="1" name="連線68" type="5" refreshedVersion="0" background="1">
    <dbPr connection="Provider=Microsoft.Mashup.OleDb.1;Data Source=$Workbook$;Location=&quot;Table_2330_113_03&quot;;Extended Properties=&quot;&quot;" commandType="0"/>
  </connection>
  <connection id="2278" xr16:uid="{61E1F966-8ACB-482F-B262-3CE8E7696FCB}" keepAlive="1" name="連線680" type="5" refreshedVersion="0" background="1">
    <dbPr connection="Provider=Microsoft.Mashup.OleDb.1;Data Source=$Workbook$;Location=&quot;Table_2330_113_02&quot;;Extended Properties=&quot;&quot;" commandType="0"/>
  </connection>
  <connection id="2279" xr16:uid="{98304F71-0223-419B-8BB2-00AA184C6FF3}" keepAlive="1" name="連線681" type="5" refreshedVersion="0" background="1">
    <dbPr connection="Provider=Microsoft.Mashup.OleDb.1;Data Source=$Workbook$;Location=&quot;Table_2330_113_01&quot;;Extended Properties=&quot;&quot;" commandType="0"/>
  </connection>
  <connection id="2280" xr16:uid="{57AA286D-D32C-48FB-93E7-442171353F06}" keepAlive="1" name="連線682" type="5" refreshedVersion="0" background="1">
    <dbPr connection="Provider=Microsoft.Mashup.OleDb.1;Data Source=$Workbook$;Location=&quot;Table_1101_113_03&quot;;Extended Properties=&quot;&quot;" commandType="0"/>
  </connection>
  <connection id="2281" xr16:uid="{7F60E724-6882-473C-B03C-AFCDA7255C26}" keepAlive="1" name="連線683" type="5" refreshedVersion="0" background="1">
    <dbPr connection="Provider=Microsoft.Mashup.OleDb.1;Data Source=$Workbook$;Location=&quot;Table_1101_113_02&quot;;Extended Properties=&quot;&quot;" commandType="0"/>
  </connection>
  <connection id="2282" xr16:uid="{892F6E27-C561-48BA-A581-9E80EAEF0432}" keepAlive="1" name="連線684" type="5" refreshedVersion="0" background="1">
    <dbPr connection="Provider=Microsoft.Mashup.OleDb.1;Data Source=$Workbook$;Location=&quot;Table_1101_113_01&quot;;Extended Properties=&quot;&quot;" commandType="0"/>
  </connection>
  <connection id="2283" xr16:uid="{8B3BBC69-014D-49C7-83F4-88D06D2536DD}" keepAlive="1" name="連線685" type="5" refreshedVersion="0" background="1">
    <dbPr connection="Provider=Microsoft.Mashup.OleDb.1;Data Source=$Workbook$;Location=&quot;Table_2912_113_03&quot;;Extended Properties=&quot;&quot;" commandType="0"/>
  </connection>
  <connection id="2284" xr16:uid="{E368EFB5-3458-489A-B1F1-C62A14F8BE60}" keepAlive="1" name="連線686" type="5" refreshedVersion="0" background="1">
    <dbPr connection="Provider=Microsoft.Mashup.OleDb.1;Data Source=$Workbook$;Location=&quot;Table_2912_113_02&quot;;Extended Properties=&quot;&quot;" commandType="0"/>
  </connection>
  <connection id="2285" xr16:uid="{6E7D6424-F897-41CE-AF7C-093C5712B52C}" keepAlive="1" name="連線687" type="5" refreshedVersion="0" background="1">
    <dbPr connection="Provider=Microsoft.Mashup.OleDb.1;Data Source=$Workbook$;Location=&quot;Table_2912_113_01&quot;;Extended Properties=&quot;&quot;" commandType="0"/>
  </connection>
  <connection id="2286" xr16:uid="{B77EA8CD-A562-4A9D-9EEB-317C3CD45C53}" keepAlive="1" name="連線688" type="5" refreshedVersion="0" background="1">
    <dbPr connection="Provider=Microsoft.Mashup.OleDb.1;Data Source=$Workbook$;Location=&quot;Table_2002_113_03&quot;;Extended Properties=&quot;&quot;" commandType="0"/>
  </connection>
  <connection id="2287" xr16:uid="{D34EC436-C997-4C65-940D-15B184734EF3}" keepAlive="1" name="連線689" type="5" refreshedVersion="0" background="1">
    <dbPr connection="Provider=Microsoft.Mashup.OleDb.1;Data Source=$Workbook$;Location=&quot;Table_2002_113_02&quot;;Extended Properties=&quot;&quot;" commandType="0"/>
  </connection>
  <connection id="2288" xr16:uid="{B1B3B8C4-29AF-4ACE-AB16-4EA923AFF221}" keepAlive="1" name="連線69" type="5" refreshedVersion="0" background="1">
    <dbPr connection="Provider=Microsoft.Mashup.OleDb.1;Data Source=$Workbook$;Location=&quot;Table_2002_113_01&quot;;Extended Properties=&quot;&quot;" commandType="0"/>
  </connection>
  <connection id="2289" xr16:uid="{9FC5D153-6D3C-472B-AA33-D8E67351ABDF}" keepAlive="1" name="連線690" type="5" refreshedVersion="0" background="1">
    <dbPr connection="Provider=Microsoft.Mashup.OleDb.1;Data Source=$Workbook$;Location=&quot;Table_2002_113_01&quot;;Extended Properties=&quot;&quot;" commandType="0"/>
  </connection>
  <connection id="2290" xr16:uid="{F73CECA4-348E-45E5-8AC2-29F5E54D3464}" keepAlive="1" name="連線691" type="5" refreshedVersion="0" background="1">
    <dbPr connection="Provider=Microsoft.Mashup.OleDb.1;Data Source=$Workbook$;Location=&quot;Table_2330_113_03&quot;;Extended Properties=&quot;&quot;" commandType="0"/>
  </connection>
  <connection id="2291" xr16:uid="{EEDD46CC-63A4-4264-988B-02BE4D420CE2}" keepAlive="1" name="連線692" type="5" refreshedVersion="0" background="1">
    <dbPr connection="Provider=Microsoft.Mashup.OleDb.1;Data Source=$Workbook$;Location=&quot;Table_2330_113_02&quot;;Extended Properties=&quot;&quot;" commandType="0"/>
  </connection>
  <connection id="2292" xr16:uid="{E256F03D-4538-449D-87E9-7FF9593377FD}" keepAlive="1" name="連線693" type="5" refreshedVersion="0" background="1">
    <dbPr connection="Provider=Microsoft.Mashup.OleDb.1;Data Source=$Workbook$;Location=&quot;Table_2330_113_01&quot;;Extended Properties=&quot;&quot;" commandType="0"/>
  </connection>
  <connection id="2293" xr16:uid="{F07566A9-3292-44C5-9AF5-379F09496BDC}" keepAlive="1" name="連線694" type="5" refreshedVersion="0" background="1">
    <dbPr connection="Provider=Microsoft.Mashup.OleDb.1;Data Source=$Workbook$;Location=&quot;Table_1101_113_03&quot;;Extended Properties=&quot;&quot;" commandType="0"/>
  </connection>
  <connection id="2294" xr16:uid="{48E90526-FCAC-4470-9F30-57A24FE6FB8F}" keepAlive="1" name="連線695" type="5" refreshedVersion="0" background="1">
    <dbPr connection="Provider=Microsoft.Mashup.OleDb.1;Data Source=$Workbook$;Location=&quot;Table_1101_113_02&quot;;Extended Properties=&quot;&quot;" commandType="0"/>
  </connection>
  <connection id="2295" xr16:uid="{EA1541CC-831B-43FE-A30E-404DAE4792F6}" keepAlive="1" name="連線696" type="5" refreshedVersion="0" background="1">
    <dbPr connection="Provider=Microsoft.Mashup.OleDb.1;Data Source=$Workbook$;Location=&quot;Table_1101_113_01&quot;;Extended Properties=&quot;&quot;" commandType="0"/>
  </connection>
  <connection id="2296" xr16:uid="{2DC91D78-8856-4C54-AFE6-D49A8BB8CCA9}" keepAlive="1" name="連線697" type="5" refreshedVersion="0" background="1">
    <dbPr connection="Provider=Microsoft.Mashup.OleDb.1;Data Source=$Workbook$;Location=&quot;Table_2912_113_03&quot;;Extended Properties=&quot;&quot;" commandType="0"/>
  </connection>
  <connection id="2297" xr16:uid="{41C68E18-6FA3-4911-8938-53B45D8A5D82}" keepAlive="1" name="連線698" type="5" refreshedVersion="0" background="1">
    <dbPr connection="Provider=Microsoft.Mashup.OleDb.1;Data Source=$Workbook$;Location=&quot;Table_2912_113_02&quot;;Extended Properties=&quot;&quot;" commandType="0"/>
  </connection>
  <connection id="2298" xr16:uid="{6223BE0D-DA7A-4003-88F5-49ADC5EFF860}" keepAlive="1" name="連線699" type="5" refreshedVersion="0" background="1">
    <dbPr connection="Provider=Microsoft.Mashup.OleDb.1;Data Source=$Workbook$;Location=&quot;Table_2912_113_01&quot;;Extended Properties=&quot;&quot;" commandType="0"/>
  </connection>
  <connection id="2299" xr16:uid="{7A614CD9-3C9A-4EA4-8416-7396BACC4BAA}" keepAlive="1" name="連線7" type="5" refreshedVersion="0" background="1">
    <dbPr connection="Provider=Microsoft.Mashup.OleDb.1;Data Source=$Workbook$;Location=&quot;Table 5&quot;;Extended Properties=&quot;&quot;" commandType="0"/>
  </connection>
  <connection id="2300" xr16:uid="{8DED0992-B84D-4681-A9C6-A4F55157C83D}" keepAlive="1" name="連線70" type="5" refreshedVersion="0" background="1">
    <dbPr connection="Provider=Microsoft.Mashup.OleDb.1;Data Source=$Workbook$;Location=&quot;Table_2002_113_02&quot;;Extended Properties=&quot;&quot;" commandType="0"/>
  </connection>
  <connection id="2301" xr16:uid="{D04F9FBD-BE2A-46ED-BD8C-E50C203ACC7B}" keepAlive="1" name="連線700" type="5" refreshedVersion="0" background="1">
    <dbPr connection="Provider=Microsoft.Mashup.OleDb.1;Data Source=$Workbook$;Location=&quot;Table_2002_113_03&quot;;Extended Properties=&quot;&quot;" commandType="0"/>
  </connection>
  <connection id="2302" xr16:uid="{D22C5EF5-7048-45CE-8FC4-8459C65D6953}" keepAlive="1" name="連線701" type="5" refreshedVersion="0" background="1">
    <dbPr connection="Provider=Microsoft.Mashup.OleDb.1;Data Source=$Workbook$;Location=&quot;Table_2002_113_02&quot;;Extended Properties=&quot;&quot;" commandType="0"/>
  </connection>
  <connection id="2303" xr16:uid="{F71CFA9F-572E-4C40-96BA-42E33C320837}" keepAlive="1" name="連線702" type="5" refreshedVersion="0" background="1">
    <dbPr connection="Provider=Microsoft.Mashup.OleDb.1;Data Source=$Workbook$;Location=&quot;Table_2002_113_01&quot;;Extended Properties=&quot;&quot;" commandType="0"/>
  </connection>
  <connection id="2304" xr16:uid="{71954862-A3BC-44ED-9200-9EEB2B254658}" keepAlive="1" name="連線703" type="5" refreshedVersion="0" background="1">
    <dbPr connection="Provider=Microsoft.Mashup.OleDb.1;Data Source=$Workbook$;Location=&quot;Table_2330_113_03&quot;;Extended Properties=&quot;&quot;" commandType="0"/>
  </connection>
  <connection id="2305" xr16:uid="{5D1C749E-AB38-44A8-8BB3-B980A7A12655}" keepAlive="1" name="連線704" type="5" refreshedVersion="0" background="1">
    <dbPr connection="Provider=Microsoft.Mashup.OleDb.1;Data Source=$Workbook$;Location=&quot;Table_2330_113_02&quot;;Extended Properties=&quot;&quot;" commandType="0"/>
  </connection>
  <connection id="2306" xr16:uid="{6C3B9A7C-B9B3-45D1-BF5D-0A28C4D1E80C}" keepAlive="1" name="連線705" type="5" refreshedVersion="0" background="1">
    <dbPr connection="Provider=Microsoft.Mashup.OleDb.1;Data Source=$Workbook$;Location=&quot;Table_2330_113_01&quot;;Extended Properties=&quot;&quot;" commandType="0"/>
  </connection>
  <connection id="2307" xr16:uid="{18BEA7B6-82EB-4778-B1CC-7BB92E8D6B08}" keepAlive="1" name="連線706" type="5" refreshedVersion="0" background="1">
    <dbPr connection="Provider=Microsoft.Mashup.OleDb.1;Data Source=$Workbook$;Location=&quot;Table_1101_113_03&quot;;Extended Properties=&quot;&quot;" commandType="0"/>
  </connection>
  <connection id="2308" xr16:uid="{98E02D0A-46F7-46CE-9F98-A6662C4B0357}" keepAlive="1" name="連線707" type="5" refreshedVersion="0" background="1">
    <dbPr connection="Provider=Microsoft.Mashup.OleDb.1;Data Source=$Workbook$;Location=&quot;Table_1101_113_02&quot;;Extended Properties=&quot;&quot;" commandType="0"/>
  </connection>
  <connection id="2309" xr16:uid="{5253311F-185F-4FAF-BF8B-3768DF2D623E}" keepAlive="1" name="連線708" type="5" refreshedVersion="0" background="1">
    <dbPr connection="Provider=Microsoft.Mashup.OleDb.1;Data Source=$Workbook$;Location=&quot;Table_1101_113_01&quot;;Extended Properties=&quot;&quot;" commandType="0"/>
  </connection>
  <connection id="2310" xr16:uid="{CC9599C7-592A-467D-85D2-0FD753978B65}" keepAlive="1" name="連線709" type="5" refreshedVersion="0" background="1">
    <dbPr connection="Provider=Microsoft.Mashup.OleDb.1;Data Source=$Workbook$;Location=&quot;Table_2912_113_03&quot;;Extended Properties=&quot;&quot;" commandType="0"/>
  </connection>
  <connection id="2311" xr16:uid="{CEFA99FE-B71B-4EFC-9A47-76049FA624C9}" keepAlive="1" name="連線71" type="5" refreshedVersion="0" background="1">
    <dbPr connection="Provider=Microsoft.Mashup.OleDb.1;Data Source=$Workbook$;Location=&quot;Table_2002_113_03&quot;;Extended Properties=&quot;&quot;" commandType="0"/>
  </connection>
  <connection id="2312" xr16:uid="{24E90F2D-9403-4BCE-8397-42C5E43D7260}" keepAlive="1" name="連線710" type="5" refreshedVersion="0" background="1">
    <dbPr connection="Provider=Microsoft.Mashup.OleDb.1;Data Source=$Workbook$;Location=&quot;Table_2912_113_02&quot;;Extended Properties=&quot;&quot;" commandType="0"/>
  </connection>
  <connection id="2313" xr16:uid="{DBD9FA33-BB8D-4408-AAEA-69D161FB6E42}" keepAlive="1" name="連線711" type="5" refreshedVersion="0" background="1">
    <dbPr connection="Provider=Microsoft.Mashup.OleDb.1;Data Source=$Workbook$;Location=&quot;Table_2912_113_01&quot;;Extended Properties=&quot;&quot;" commandType="0"/>
  </connection>
  <connection id="2314" xr16:uid="{CDE4C20C-19CE-4BA6-9ECA-9B2E4C8FC2E9}" keepAlive="1" name="連線712" type="5" refreshedVersion="0" background="1">
    <dbPr connection="Provider=Microsoft.Mashup.OleDb.1;Data Source=$Workbook$;Location=&quot;Table_2002_113_03&quot;;Extended Properties=&quot;&quot;" commandType="0"/>
  </connection>
  <connection id="2315" xr16:uid="{88B4C858-1620-4783-A15B-ED4BFFCD7BC1}" keepAlive="1" name="連線713" type="5" refreshedVersion="0" background="1">
    <dbPr connection="Provider=Microsoft.Mashup.OleDb.1;Data Source=$Workbook$;Location=&quot;Table_2002_113_02&quot;;Extended Properties=&quot;&quot;" commandType="0"/>
  </connection>
  <connection id="2316" xr16:uid="{6653BBE8-B644-4195-BAD7-454DC485DBAC}" keepAlive="1" name="連線714" type="5" refreshedVersion="0" background="1">
    <dbPr connection="Provider=Microsoft.Mashup.OleDb.1;Data Source=$Workbook$;Location=&quot;Table_2002_113_01&quot;;Extended Properties=&quot;&quot;" commandType="0"/>
  </connection>
  <connection id="2317" xr16:uid="{86DB2F75-FF5B-49E3-93B3-06E762EFF464}" keepAlive="1" name="連線715" type="5" refreshedVersion="0" background="1">
    <dbPr connection="Provider=Microsoft.Mashup.OleDb.1;Data Source=$Workbook$;Location=&quot;Table_2330_113_03&quot;;Extended Properties=&quot;&quot;" commandType="0"/>
  </connection>
  <connection id="2318" xr16:uid="{48335D7A-2088-4708-A136-125AE5617BF4}" keepAlive="1" name="連線716" type="5" refreshedVersion="0" background="1">
    <dbPr connection="Provider=Microsoft.Mashup.OleDb.1;Data Source=$Workbook$;Location=&quot;Table_2330_113_02&quot;;Extended Properties=&quot;&quot;" commandType="0"/>
  </connection>
  <connection id="2319" xr16:uid="{7E0D9D80-CCC9-4709-A098-F00E939E3152}" keepAlive="1" name="連線717" type="5" refreshedVersion="0" background="1">
    <dbPr connection="Provider=Microsoft.Mashup.OleDb.1;Data Source=$Workbook$;Location=&quot;Table_2330_113_01&quot;;Extended Properties=&quot;&quot;" commandType="0"/>
  </connection>
  <connection id="2320" xr16:uid="{4CC5A186-300B-4816-85DC-8EDD299919F6}" keepAlive="1" name="連線718" type="5" refreshedVersion="0" background="1">
    <dbPr connection="Provider=Microsoft.Mashup.OleDb.1;Data Source=$Workbook$;Location=&quot;Table_1101_113_03&quot;;Extended Properties=&quot;&quot;" commandType="0"/>
  </connection>
  <connection id="2321" xr16:uid="{8EFBA5D1-D010-4A47-9F9B-DFD5598188AF}" keepAlive="1" name="連線719" type="5" refreshedVersion="0" background="1">
    <dbPr connection="Provider=Microsoft.Mashup.OleDb.1;Data Source=$Workbook$;Location=&quot;Table_1101_113_02&quot;;Extended Properties=&quot;&quot;" commandType="0"/>
  </connection>
  <connection id="2322" xr16:uid="{5090AAE3-616B-4488-872E-0450D86AB80F}" keepAlive="1" name="連線72" type="5" refreshedVersion="0" background="1">
    <dbPr connection="Provider=Microsoft.Mashup.OleDb.1;Data Source=$Workbook$;Location=&quot;Table_投資組合比重__&quot;;Extended Properties=&quot;&quot;" commandType="0"/>
  </connection>
  <connection id="2323" xr16:uid="{EC7D3325-A884-4C7B-BEDE-5A879CED7DC1}" keepAlive="1" name="連線720" type="5" refreshedVersion="0" background="1">
    <dbPr connection="Provider=Microsoft.Mashup.OleDb.1;Data Source=$Workbook$;Location=&quot;Table_1101_113_01&quot;;Extended Properties=&quot;&quot;" commandType="0"/>
  </connection>
  <connection id="2324" xr16:uid="{57D6F9FA-5392-4371-B405-E43A4B3738AF}" keepAlive="1" name="連線721" type="5" refreshedVersion="0" background="1">
    <dbPr connection="Provider=Microsoft.Mashup.OleDb.1;Data Source=$Workbook$;Location=&quot;Table_2912_113_03&quot;;Extended Properties=&quot;&quot;" commandType="0"/>
  </connection>
  <connection id="2325" xr16:uid="{A3F99725-989A-449E-BF37-9C713FB7157B}" keepAlive="1" name="連線722" type="5" refreshedVersion="0" background="1">
    <dbPr connection="Provider=Microsoft.Mashup.OleDb.1;Data Source=$Workbook$;Location=&quot;Table_2912_113_02&quot;;Extended Properties=&quot;&quot;" commandType="0"/>
  </connection>
  <connection id="2326" xr16:uid="{592A5520-F24E-4953-9936-E3E990B1ED2C}" keepAlive="1" name="連線723" type="5" refreshedVersion="0" background="1">
    <dbPr connection="Provider=Microsoft.Mashup.OleDb.1;Data Source=$Workbook$;Location=&quot;Table_2912_113_01&quot;;Extended Properties=&quot;&quot;" commandType="0"/>
  </connection>
  <connection id="2327" xr16:uid="{68B1F355-8702-4DE4-9CF4-D779B8740C53}" keepAlive="1" name="連線724" type="5" refreshedVersion="0" background="1">
    <dbPr connection="Provider=Microsoft.Mashup.OleDb.1;Data Source=$Workbook$;Location=&quot;Table_2002_113_03&quot;;Extended Properties=&quot;&quot;" commandType="0"/>
  </connection>
  <connection id="2328" xr16:uid="{A02DAB97-88FA-47CE-B232-58201E7AC663}" keepAlive="1" name="連線725" type="5" refreshedVersion="0" background="1">
    <dbPr connection="Provider=Microsoft.Mashup.OleDb.1;Data Source=$Workbook$;Location=&quot;Table_2002_113_02&quot;;Extended Properties=&quot;&quot;" commandType="0"/>
  </connection>
  <connection id="2329" xr16:uid="{A4E5E502-BDE6-454E-A713-52235019E69E}" keepAlive="1" name="連線726" type="5" refreshedVersion="0" background="1">
    <dbPr connection="Provider=Microsoft.Mashup.OleDb.1;Data Source=$Workbook$;Location=&quot;Table_2002_113_01&quot;;Extended Properties=&quot;&quot;" commandType="0"/>
  </connection>
  <connection id="2330" xr16:uid="{3DEDF3EB-8C59-43B9-A228-4E7235BB8F2B}" keepAlive="1" name="連線727" type="5" refreshedVersion="0" background="1">
    <dbPr connection="Provider=Microsoft.Mashup.OleDb.1;Data Source=$Workbook$;Location=&quot;Table_2330_113_03&quot;;Extended Properties=&quot;&quot;" commandType="0"/>
  </connection>
  <connection id="2331" xr16:uid="{73F09BB4-E41A-40A4-B1F9-17547B060D37}" keepAlive="1" name="連線728" type="5" refreshedVersion="0" background="1">
    <dbPr connection="Provider=Microsoft.Mashup.OleDb.1;Data Source=$Workbook$;Location=&quot;Table_2330_113_02&quot;;Extended Properties=&quot;&quot;" commandType="0"/>
  </connection>
  <connection id="2332" xr16:uid="{07C08065-E9A4-4658-923A-7D37E2E29727}" keepAlive="1" name="連線729" type="5" refreshedVersion="0" background="1">
    <dbPr connection="Provider=Microsoft.Mashup.OleDb.1;Data Source=$Workbook$;Location=&quot;Table_2330_113_01&quot;;Extended Properties=&quot;&quot;" commandType="0"/>
  </connection>
  <connection id="2333" xr16:uid="{329FDBC6-FAA8-4838-B45A-3FB9FD1B746F}" keepAlive="1" name="連線73" type="5" refreshedVersion="0" background="1">
    <dbPr connection="Provider=Microsoft.Mashup.OleDb.1;Data Source=$Workbook$;Location=&quot;Table_2330_113_01&quot;;Extended Properties=&quot;&quot;" commandType="0"/>
  </connection>
  <connection id="2334" xr16:uid="{C5A15C47-4BBA-4E44-8B82-05DE466DBDAC}" keepAlive="1" name="連線730" type="5" refreshedVersion="0" background="1">
    <dbPr connection="Provider=Microsoft.Mashup.OleDb.1;Data Source=$Workbook$;Location=&quot;Table_1101_113_03&quot;;Extended Properties=&quot;&quot;" commandType="0"/>
  </connection>
  <connection id="2335" xr16:uid="{D6DAAA63-A7D9-4459-B68C-F8FFD761ECC2}" keepAlive="1" name="連線731" type="5" refreshedVersion="0" background="1">
    <dbPr connection="Provider=Microsoft.Mashup.OleDb.1;Data Source=$Workbook$;Location=&quot;Table_1101_113_02&quot;;Extended Properties=&quot;&quot;" commandType="0"/>
  </connection>
  <connection id="2336" xr16:uid="{83700B01-BAEB-4F0B-940B-574615C491CB}" keepAlive="1" name="連線732" type="5" refreshedVersion="0" background="1">
    <dbPr connection="Provider=Microsoft.Mashup.OleDb.1;Data Source=$Workbook$;Location=&quot;Table_1101_113_01&quot;;Extended Properties=&quot;&quot;" commandType="0"/>
  </connection>
  <connection id="2337" xr16:uid="{00D064B1-640E-4215-B218-D20F74561223}" keepAlive="1" name="連線733" type="5" refreshedVersion="0" background="1">
    <dbPr connection="Provider=Microsoft.Mashup.OleDb.1;Data Source=$Workbook$;Location=&quot;Table_2912_113_03&quot;;Extended Properties=&quot;&quot;" commandType="0"/>
  </connection>
  <connection id="2338" xr16:uid="{A476FD4E-00E0-482A-8C3E-EA19C8351B53}" keepAlive="1" name="連線734" type="5" refreshedVersion="0" background="1">
    <dbPr connection="Provider=Microsoft.Mashup.OleDb.1;Data Source=$Workbook$;Location=&quot;Table_2912_113_02&quot;;Extended Properties=&quot;&quot;" commandType="0"/>
  </connection>
  <connection id="2339" xr16:uid="{B35CFCBA-CADA-4F72-B0BF-4A937CF3B1F5}" keepAlive="1" name="連線735" type="5" refreshedVersion="0" background="1">
    <dbPr connection="Provider=Microsoft.Mashup.OleDb.1;Data Source=$Workbook$;Location=&quot;Table_2912_113_01&quot;;Extended Properties=&quot;&quot;" commandType="0"/>
  </connection>
  <connection id="2340" xr16:uid="{5262E74C-52D0-4702-AF27-ADD3C396D9F9}" keepAlive="1" name="連線736" type="5" refreshedVersion="0" background="1">
    <dbPr connection="Provider=Microsoft.Mashup.OleDb.1;Data Source=$Workbook$;Location=&quot;Table_2002_113_03&quot;;Extended Properties=&quot;&quot;" commandType="0"/>
  </connection>
  <connection id="2341" xr16:uid="{7F29BE98-B404-45D8-922F-99A17DF0313C}" keepAlive="1" name="連線737" type="5" refreshedVersion="0" background="1">
    <dbPr connection="Provider=Microsoft.Mashup.OleDb.1;Data Source=$Workbook$;Location=&quot;Table_2002_113_02&quot;;Extended Properties=&quot;&quot;" commandType="0"/>
  </connection>
  <connection id="2342" xr16:uid="{88595718-35D2-444D-9B7C-626683232C01}" keepAlive="1" name="連線738" type="5" refreshedVersion="0" background="1">
    <dbPr connection="Provider=Microsoft.Mashup.OleDb.1;Data Source=$Workbook$;Location=&quot;Table_2002_113_01&quot;;Extended Properties=&quot;&quot;" commandType="0"/>
  </connection>
  <connection id="2343" xr16:uid="{501D1AB8-FCE3-419F-B0E3-2893469EC150}" keepAlive="1" name="連線739" type="5" refreshedVersion="0" background="1">
    <dbPr connection="Provider=Microsoft.Mashup.OleDb.1;Data Source=$Workbook$;Location=&quot;Table_2882_113_03&quot;;Extended Properties=&quot;&quot;" commandType="0"/>
  </connection>
  <connection id="2344" xr16:uid="{568E7C78-87CF-4566-BDAD-37E422F41DC9}" keepAlive="1" name="連線74" type="5" refreshedVersion="0" background="1">
    <dbPr connection="Provider=Microsoft.Mashup.OleDb.1;Data Source=$Workbook$;Location=&quot;Table_2330_113_02&quot;;Extended Properties=&quot;&quot;" commandType="0"/>
  </connection>
  <connection id="2345" xr16:uid="{CBC39A00-6E1E-4410-ABB1-3D243CC18524}" keepAlive="1" name="連線740" type="5" refreshedVersion="0" background="1">
    <dbPr connection="Provider=Microsoft.Mashup.OleDb.1;Data Source=$Workbook$;Location=&quot;Table_2882_113_02&quot;;Extended Properties=&quot;&quot;" commandType="0"/>
  </connection>
  <connection id="2346" xr16:uid="{01B63BDA-2395-49E9-BC02-5413A2C97F86}" keepAlive="1" name="連線741" type="5" refreshedVersion="0" background="1">
    <dbPr connection="Provider=Microsoft.Mashup.OleDb.1;Data Source=$Workbook$;Location=&quot;Table_2882_113_01&quot;;Extended Properties=&quot;&quot;" commandType="0"/>
  </connection>
  <connection id="2347" xr16:uid="{0B722ACC-EDB7-4C5B-844F-6793F6EFC5EF}" keepAlive="1" name="連線742" type="5" refreshedVersion="0" background="1">
    <dbPr connection="Provider=Microsoft.Mashup.OleDb.1;Data Source=$Workbook$;Location=&quot;Table_2330_113_03&quot;;Extended Properties=&quot;&quot;" commandType="0"/>
  </connection>
  <connection id="2348" xr16:uid="{6CCA4E6C-F9E0-4974-9B3B-E19CC8F58B82}" keepAlive="1" name="連線743" type="5" refreshedVersion="0" background="1">
    <dbPr connection="Provider=Microsoft.Mashup.OleDb.1;Data Source=$Workbook$;Location=&quot;Table_2330_113_02&quot;;Extended Properties=&quot;&quot;" commandType="0"/>
  </connection>
  <connection id="2349" xr16:uid="{747E4138-0A08-4633-8785-FE5FE44C7CCC}" keepAlive="1" name="連線744" type="5" refreshedVersion="0" background="1">
    <dbPr connection="Provider=Microsoft.Mashup.OleDb.1;Data Source=$Workbook$;Location=&quot;Table_2330_113_01&quot;;Extended Properties=&quot;&quot;" commandType="0"/>
  </connection>
  <connection id="2350" xr16:uid="{416F892E-48A1-4BA0-A5F2-1B6CC4EC71D3}" keepAlive="1" name="連線745" type="5" refreshedVersion="0" background="1">
    <dbPr connection="Provider=Microsoft.Mashup.OleDb.1;Data Source=$Workbook$;Location=&quot;Table_1101_113_03&quot;;Extended Properties=&quot;&quot;" commandType="0"/>
  </connection>
  <connection id="2351" xr16:uid="{ECB1AE15-64C5-45BF-96AF-E843E38A9B26}" keepAlive="1" name="連線746" type="5" refreshedVersion="0" background="1">
    <dbPr connection="Provider=Microsoft.Mashup.OleDb.1;Data Source=$Workbook$;Location=&quot;Table_1101_113_02&quot;;Extended Properties=&quot;&quot;" commandType="0"/>
  </connection>
  <connection id="2352" xr16:uid="{5F62B7AC-3DE1-4333-9D92-701AB355A5EF}" keepAlive="1" name="連線747" type="5" refreshedVersion="0" background="1">
    <dbPr connection="Provider=Microsoft.Mashup.OleDb.1;Data Source=$Workbook$;Location=&quot;Table_1101_113_01&quot;;Extended Properties=&quot;&quot;" commandType="0"/>
  </connection>
  <connection id="2353" xr16:uid="{ED63BA81-9ABC-481E-8C96-BC4BD29D89FD}" keepAlive="1" name="連線748" type="5" refreshedVersion="0" background="1">
    <dbPr connection="Provider=Microsoft.Mashup.OleDb.1;Data Source=$Workbook$;Location=&quot;Table_2912_113_03&quot;;Extended Properties=&quot;&quot;" commandType="0"/>
  </connection>
  <connection id="2354" xr16:uid="{556F8982-55F3-4F6D-B650-0496178239B3}" keepAlive="1" name="連線749" type="5" refreshedVersion="0" background="1">
    <dbPr connection="Provider=Microsoft.Mashup.OleDb.1;Data Source=$Workbook$;Location=&quot;Table_2912_113_02&quot;;Extended Properties=&quot;&quot;" commandType="0"/>
  </connection>
  <connection id="2355" xr16:uid="{50306631-0586-4665-A7C3-D40029830EF1}" keepAlive="1" name="連線75" type="5" refreshedVersion="0" background="1">
    <dbPr connection="Provider=Microsoft.Mashup.OleDb.1;Data Source=$Workbook$;Location=&quot;Table_2330_113_03&quot;;Extended Properties=&quot;&quot;" commandType="0"/>
  </connection>
  <connection id="2356" xr16:uid="{59CDF217-8FB6-4291-A0A8-A196A159C177}" keepAlive="1" name="連線750" type="5" refreshedVersion="0" background="1">
    <dbPr connection="Provider=Microsoft.Mashup.OleDb.1;Data Source=$Workbook$;Location=&quot;Table_2912_113_01&quot;;Extended Properties=&quot;&quot;" commandType="0"/>
  </connection>
  <connection id="2357" xr16:uid="{4B0F5083-5445-4B1B-BC98-46D3B0AA1B74}" keepAlive="1" name="連線751" type="5" refreshedVersion="0" background="1">
    <dbPr connection="Provider=Microsoft.Mashup.OleDb.1;Data Source=$Workbook$;Location=&quot;Table_2002_113_03&quot;;Extended Properties=&quot;&quot;" commandType="0"/>
  </connection>
  <connection id="2358" xr16:uid="{DC734341-39BA-4B0D-9514-925FC2D8F4A7}" keepAlive="1" name="連線752" type="5" refreshedVersion="0" background="1">
    <dbPr connection="Provider=Microsoft.Mashup.OleDb.1;Data Source=$Workbook$;Location=&quot;Table_2002_113_02&quot;;Extended Properties=&quot;&quot;" commandType="0"/>
  </connection>
  <connection id="2359" xr16:uid="{4A0A681C-3BA4-4A90-8664-E65304BCF887}" keepAlive="1" name="連線753" type="5" refreshedVersion="0" background="1">
    <dbPr connection="Provider=Microsoft.Mashup.OleDb.1;Data Source=$Workbook$;Location=&quot;Table_2002_113_01&quot;;Extended Properties=&quot;&quot;" commandType="0"/>
  </connection>
  <connection id="2360" xr16:uid="{A432C5A0-6EC8-4C9D-A93B-D2042E0FE037}" keepAlive="1" name="連線754" type="5" refreshedVersion="0" background="1">
    <dbPr connection="Provider=Microsoft.Mashup.OleDb.1;Data Source=$Workbook$;Location=&quot;Table_2330_113_03&quot;;Extended Properties=&quot;&quot;" commandType="0"/>
  </connection>
  <connection id="2361" xr16:uid="{39E67E81-62CC-4A8F-AA7E-393AF942F8F7}" keepAlive="1" name="連線755" type="5" refreshedVersion="0" background="1">
    <dbPr connection="Provider=Microsoft.Mashup.OleDb.1;Data Source=$Workbook$;Location=&quot;Table_2330_113_02&quot;;Extended Properties=&quot;&quot;" commandType="0"/>
  </connection>
  <connection id="2362" xr16:uid="{152FE5AF-52CB-4A0E-9173-4ACD4488EC21}" keepAlive="1" name="連線756" type="5" refreshedVersion="0" background="1">
    <dbPr connection="Provider=Microsoft.Mashup.OleDb.1;Data Source=$Workbook$;Location=&quot;Table_2330_113_01&quot;;Extended Properties=&quot;&quot;" commandType="0"/>
  </connection>
  <connection id="2363" xr16:uid="{EEBFF5B6-DE29-45C8-B3CB-C6839D14ACBA}" keepAlive="1" name="連線757" type="5" refreshedVersion="0" background="1">
    <dbPr connection="Provider=Microsoft.Mashup.OleDb.1;Data Source=$Workbook$;Location=&quot;Table_1101_113_03&quot;;Extended Properties=&quot;&quot;" commandType="0"/>
  </connection>
  <connection id="2364" xr16:uid="{FD33F15A-806D-47D5-A1F6-2A57E08161EC}" keepAlive="1" name="連線758" type="5" refreshedVersion="0" background="1">
    <dbPr connection="Provider=Microsoft.Mashup.OleDb.1;Data Source=$Workbook$;Location=&quot;Table_1101_113_02&quot;;Extended Properties=&quot;&quot;" commandType="0"/>
  </connection>
  <connection id="2365" xr16:uid="{0BA85192-8282-43F9-9683-CC6EEE76D734}" keepAlive="1" name="連線759" type="5" refreshedVersion="0" background="1">
    <dbPr connection="Provider=Microsoft.Mashup.OleDb.1;Data Source=$Workbook$;Location=&quot;Table_1101_113_01&quot;;Extended Properties=&quot;&quot;" commandType="0"/>
  </connection>
  <connection id="2366" xr16:uid="{CCB7DAAB-8173-440E-8D9E-2462DD986DF1}" keepAlive="1" name="連線76" type="5" refreshedVersion="0" background="1">
    <dbPr connection="Provider=Microsoft.Mashup.OleDb.1;Data Source=$Workbook$;Location=&quot;Table_2002_113_01&quot;;Extended Properties=&quot;&quot;" commandType="0"/>
  </connection>
  <connection id="2367" xr16:uid="{9CFC59A3-7A86-45A6-8BD0-517CEFE6D3FC}" keepAlive="1" name="連線760" type="5" refreshedVersion="0" background="1">
    <dbPr connection="Provider=Microsoft.Mashup.OleDb.1;Data Source=$Workbook$;Location=&quot;Table_2912_113_03&quot;;Extended Properties=&quot;&quot;" commandType="0"/>
  </connection>
  <connection id="2368" xr16:uid="{51960D13-7754-41B9-8DF9-9EBAE459E32B}" keepAlive="1" name="連線761" type="5" refreshedVersion="0" background="1">
    <dbPr connection="Provider=Microsoft.Mashup.OleDb.1;Data Source=$Workbook$;Location=&quot;Table_2912_113_02&quot;;Extended Properties=&quot;&quot;" commandType="0"/>
  </connection>
  <connection id="2369" xr16:uid="{3D1E3A8D-F6C1-4CF0-B0AB-B4CFA933BEED}" keepAlive="1" name="連線762" type="5" refreshedVersion="0" background="1">
    <dbPr connection="Provider=Microsoft.Mashup.OleDb.1;Data Source=$Workbook$;Location=&quot;Table_2912_113_01&quot;;Extended Properties=&quot;&quot;" commandType="0"/>
  </connection>
  <connection id="2370" xr16:uid="{2DDF7BA9-5F97-476B-8993-62792293C981}" keepAlive="1" name="連線763" type="5" refreshedVersion="0" background="1">
    <dbPr connection="Provider=Microsoft.Mashup.OleDb.1;Data Source=$Workbook$;Location=&quot;Table_2002_113_03&quot;;Extended Properties=&quot;&quot;" commandType="0"/>
  </connection>
  <connection id="2371" xr16:uid="{9DE09594-3AB3-4434-B53C-C7F8DAB4E205}" keepAlive="1" name="連線764" type="5" refreshedVersion="0" background="1">
    <dbPr connection="Provider=Microsoft.Mashup.OleDb.1;Data Source=$Workbook$;Location=&quot;Table_2002_113_02&quot;;Extended Properties=&quot;&quot;" commandType="0"/>
  </connection>
  <connection id="2372" xr16:uid="{ED2F7414-B4D0-4ED3-A269-650505DDB419}" keepAlive="1" name="連線765" type="5" refreshedVersion="0" background="1">
    <dbPr connection="Provider=Microsoft.Mashup.OleDb.1;Data Source=$Workbook$;Location=&quot;Table_2002_113_01&quot;;Extended Properties=&quot;&quot;" commandType="0"/>
  </connection>
  <connection id="2373" xr16:uid="{A017129E-0378-49C5-911F-005EABC8A5BE}" keepAlive="1" name="連線766" type="5" refreshedVersion="0" background="1">
    <dbPr connection="Provider=Microsoft.Mashup.OleDb.1;Data Source=$Workbook$;Location=&quot;Table_2882_113_03&quot;;Extended Properties=&quot;&quot;" commandType="0"/>
  </connection>
  <connection id="2374" xr16:uid="{0E0F3BCE-6DCD-48A6-9276-F69969CFDF40}" keepAlive="1" name="連線767" type="5" refreshedVersion="0" background="1">
    <dbPr connection="Provider=Microsoft.Mashup.OleDb.1;Data Source=$Workbook$;Location=&quot;Table_2882_113_02&quot;;Extended Properties=&quot;&quot;" commandType="0"/>
  </connection>
  <connection id="2375" xr16:uid="{BD3AD329-37E8-4115-9409-B4F1F3FC1ADD}" keepAlive="1" name="連線768" type="5" refreshedVersion="0" background="1">
    <dbPr connection="Provider=Microsoft.Mashup.OleDb.1;Data Source=$Workbook$;Location=&quot;Table_2882_113_01&quot;;Extended Properties=&quot;&quot;" commandType="0"/>
  </connection>
  <connection id="2376" xr16:uid="{16734AB2-2E36-4A9A-8933-0419DAA6EB4F}" keepAlive="1" name="連線769" type="5" refreshedVersion="0" background="1">
    <dbPr connection="Provider=Microsoft.Mashup.OleDb.1;Data Source=$Workbook$;Location=&quot;Table_2330_113_03&quot;;Extended Properties=&quot;&quot;" commandType="0"/>
  </connection>
  <connection id="2377" xr16:uid="{D399E3A8-FE93-4183-90DF-D92A88131505}" keepAlive="1" name="連線77" type="5" refreshedVersion="0" background="1">
    <dbPr connection="Provider=Microsoft.Mashup.OleDb.1;Data Source=$Workbook$;Location=&quot;Table_2002_113_02&quot;;Extended Properties=&quot;&quot;" commandType="0"/>
  </connection>
  <connection id="2378" xr16:uid="{BB4B21B9-5337-415A-A41F-30231034E2B8}" keepAlive="1" name="連線770" type="5" refreshedVersion="0" background="1">
    <dbPr connection="Provider=Microsoft.Mashup.OleDb.1;Data Source=$Workbook$;Location=&quot;Table_2330_113_02&quot;;Extended Properties=&quot;&quot;" commandType="0"/>
  </connection>
  <connection id="2379" xr16:uid="{2AD9B63E-6C6E-42D3-8329-460D5046249F}" keepAlive="1" name="連線771" type="5" refreshedVersion="0" background="1">
    <dbPr connection="Provider=Microsoft.Mashup.OleDb.1;Data Source=$Workbook$;Location=&quot;Table_2330_113_01&quot;;Extended Properties=&quot;&quot;" commandType="0"/>
  </connection>
  <connection id="2380" xr16:uid="{7E0B48D3-92D6-4E08-BF9F-E87570C1F3A1}" keepAlive="1" name="連線772" type="5" refreshedVersion="0" background="1">
    <dbPr connection="Provider=Microsoft.Mashup.OleDb.1;Data Source=$Workbook$;Location=&quot;Table_1101_113_03&quot;;Extended Properties=&quot;&quot;" commandType="0"/>
  </connection>
  <connection id="2381" xr16:uid="{DB5EC3F0-F719-408B-8A63-6371E8063F59}" keepAlive="1" name="連線773" type="5" refreshedVersion="0" background="1">
    <dbPr connection="Provider=Microsoft.Mashup.OleDb.1;Data Source=$Workbook$;Location=&quot;Table_1101_113_02&quot;;Extended Properties=&quot;&quot;" commandType="0"/>
  </connection>
  <connection id="2382" xr16:uid="{495BF927-89EA-4ABE-8E50-907B9FF61982}" keepAlive="1" name="連線774" type="5" refreshedVersion="0" background="1">
    <dbPr connection="Provider=Microsoft.Mashup.OleDb.1;Data Source=$Workbook$;Location=&quot;Table_1101_113_01&quot;;Extended Properties=&quot;&quot;" commandType="0"/>
  </connection>
  <connection id="2383" xr16:uid="{E7710A55-5A1A-49AD-AF1C-F380C1F66159}" keepAlive="1" name="連線775" type="5" refreshedVersion="0" background="1">
    <dbPr connection="Provider=Microsoft.Mashup.OleDb.1;Data Source=$Workbook$;Location=&quot;Table_2912_113_03&quot;;Extended Properties=&quot;&quot;" commandType="0"/>
  </connection>
  <connection id="2384" xr16:uid="{D0560DB1-36EE-4209-9B1E-E308CCCD888E}" keepAlive="1" name="連線776" type="5" refreshedVersion="0" background="1">
    <dbPr connection="Provider=Microsoft.Mashup.OleDb.1;Data Source=$Workbook$;Location=&quot;Table_2912_113_02&quot;;Extended Properties=&quot;&quot;" commandType="0"/>
  </connection>
  <connection id="2385" xr16:uid="{DD963EB0-7AC0-4392-8B86-2C1CFE1D38CB}" keepAlive="1" name="連線777" type="5" refreshedVersion="0" background="1">
    <dbPr connection="Provider=Microsoft.Mashup.OleDb.1;Data Source=$Workbook$;Location=&quot;Table_2912_113_01&quot;;Extended Properties=&quot;&quot;" commandType="0"/>
  </connection>
  <connection id="2386" xr16:uid="{D229C5E8-43A3-4F7A-8E61-922163F22BA4}" keepAlive="1" name="連線778" type="5" refreshedVersion="0" background="1">
    <dbPr connection="Provider=Microsoft.Mashup.OleDb.1;Data Source=$Workbook$;Location=&quot;Table_2002_113_03&quot;;Extended Properties=&quot;&quot;" commandType="0"/>
  </connection>
  <connection id="2387" xr16:uid="{371ADF6D-28C1-44A4-A4A6-E5AEA8CE1DCE}" keepAlive="1" name="連線779" type="5" refreshedVersion="0" background="1">
    <dbPr connection="Provider=Microsoft.Mashup.OleDb.1;Data Source=$Workbook$;Location=&quot;Table_2002_113_02&quot;;Extended Properties=&quot;&quot;" commandType="0"/>
  </connection>
  <connection id="2388" xr16:uid="{9523D652-B875-4A93-A5A0-664C780A52C6}" keepAlive="1" name="連線78" type="5" refreshedVersion="0" background="1">
    <dbPr connection="Provider=Microsoft.Mashup.OleDb.1;Data Source=$Workbook$;Location=&quot;Table_2002_113_03&quot;;Extended Properties=&quot;&quot;" commandType="0"/>
  </connection>
  <connection id="2389" xr16:uid="{D4A9DA52-F0A9-43DA-B235-D46DF4A72F41}" keepAlive="1" name="連線780" type="5" refreshedVersion="0" background="1">
    <dbPr connection="Provider=Microsoft.Mashup.OleDb.1;Data Source=$Workbook$;Location=&quot;Table_2002_113_01&quot;;Extended Properties=&quot;&quot;" commandType="0"/>
  </connection>
  <connection id="2390" xr16:uid="{8F893DC4-F4A8-42E5-B57B-9678BE166571}" keepAlive="1" name="連線781" type="5" refreshedVersion="0" background="1">
    <dbPr connection="Provider=Microsoft.Mashup.OleDb.1;Data Source=$Workbook$;Location=&quot;Table_2882_113_03&quot;;Extended Properties=&quot;&quot;" commandType="0"/>
  </connection>
  <connection id="2391" xr16:uid="{827F0B52-FB73-4403-AEA9-E83458A3D759}" keepAlive="1" name="連線782" type="5" refreshedVersion="0" background="1">
    <dbPr connection="Provider=Microsoft.Mashup.OleDb.1;Data Source=$Workbook$;Location=&quot;Table_2882_113_02&quot;;Extended Properties=&quot;&quot;" commandType="0"/>
  </connection>
  <connection id="2392" xr16:uid="{CF192749-5D0A-4CC4-9EA7-9EB89C5F2575}" keepAlive="1" name="連線783" type="5" refreshedVersion="0" background="1">
    <dbPr connection="Provider=Microsoft.Mashup.OleDb.1;Data Source=$Workbook$;Location=&quot;Table_2882_113_01&quot;;Extended Properties=&quot;&quot;" commandType="0"/>
  </connection>
  <connection id="2393" xr16:uid="{D1E6429D-3088-4333-B053-E13A5273FC36}" keepAlive="1" name="連線784" type="5" refreshedVersion="0" background="1">
    <dbPr connection="Provider=Microsoft.Mashup.OleDb.1;Data Source=$Workbook$;Location=&quot;Table_2330_113_03&quot;;Extended Properties=&quot;&quot;" commandType="0"/>
  </connection>
  <connection id="2394" xr16:uid="{9C0E77AD-2F9C-45C6-BFE7-3D18DFCAA736}" keepAlive="1" name="連線785" type="5" refreshedVersion="0" background="1">
    <dbPr connection="Provider=Microsoft.Mashup.OleDb.1;Data Source=$Workbook$;Location=&quot;Table_2330_113_02&quot;;Extended Properties=&quot;&quot;" commandType="0"/>
  </connection>
  <connection id="2395" xr16:uid="{69F85553-31CC-4AC1-A252-BBA87FBF467D}" keepAlive="1" name="連線786" type="5" refreshedVersion="0" background="1">
    <dbPr connection="Provider=Microsoft.Mashup.OleDb.1;Data Source=$Workbook$;Location=&quot;Table_2330_113_01&quot;;Extended Properties=&quot;&quot;" commandType="0"/>
  </connection>
  <connection id="2396" xr16:uid="{34284A64-A0A3-4A71-B6FD-1EC0FD8835B2}" keepAlive="1" name="連線787" type="5" refreshedVersion="0" background="1">
    <dbPr connection="Provider=Microsoft.Mashup.OleDb.1;Data Source=$Workbook$;Location=&quot;Table_1101_113_03&quot;;Extended Properties=&quot;&quot;" commandType="0"/>
  </connection>
  <connection id="2397" xr16:uid="{118662A8-C6E6-4E15-B79D-792F3EC23FE0}" keepAlive="1" name="連線788" type="5" refreshedVersion="0" background="1">
    <dbPr connection="Provider=Microsoft.Mashup.OleDb.1;Data Source=$Workbook$;Location=&quot;Table_1101_113_02&quot;;Extended Properties=&quot;&quot;" commandType="0"/>
  </connection>
  <connection id="2398" xr16:uid="{37FB9CF3-EB98-43FB-B9B7-EE5DFEEBDA1B}" keepAlive="1" name="連線789" type="5" refreshedVersion="0" background="1">
    <dbPr connection="Provider=Microsoft.Mashup.OleDb.1;Data Source=$Workbook$;Location=&quot;Table_1101_113_01&quot;;Extended Properties=&quot;&quot;" commandType="0"/>
  </connection>
  <connection id="2399" xr16:uid="{69FBAFF5-3237-498D-9ED6-C284CCC694E5}" keepAlive="1" name="連線79" type="5" refreshedVersion="0" background="1">
    <dbPr connection="Provider=Microsoft.Mashup.OleDb.1;Data Source=$Workbook$;Location=&quot;Table_投資組合比重__&quot;;Extended Properties=&quot;&quot;" commandType="0"/>
  </connection>
  <connection id="2400" xr16:uid="{59EBF98B-1831-45BC-8D93-4C200FB066B0}" keepAlive="1" name="連線790" type="5" refreshedVersion="0" background="1">
    <dbPr connection="Provider=Microsoft.Mashup.OleDb.1;Data Source=$Workbook$;Location=&quot;Table_2912_113_03&quot;;Extended Properties=&quot;&quot;" commandType="0"/>
  </connection>
  <connection id="2401" xr16:uid="{10660E13-A300-41F6-A75F-C557F840B8B2}" keepAlive="1" name="連線791" type="5" refreshedVersion="0" background="1">
    <dbPr connection="Provider=Microsoft.Mashup.OleDb.1;Data Source=$Workbook$;Location=&quot;Table_2912_113_02&quot;;Extended Properties=&quot;&quot;" commandType="0"/>
  </connection>
  <connection id="2402" xr16:uid="{D2C5FF78-E552-435C-ABD0-A212F0628BF1}" keepAlive="1" name="連線792" type="5" refreshedVersion="0" background="1">
    <dbPr connection="Provider=Microsoft.Mashup.OleDb.1;Data Source=$Workbook$;Location=&quot;Table_2912_113_01&quot;;Extended Properties=&quot;&quot;" commandType="0"/>
  </connection>
  <connection id="2403" xr16:uid="{0195664A-4BB5-4C0F-8CD5-AB6FEEC66A53}" keepAlive="1" name="連線793" type="5" refreshedVersion="0" background="1">
    <dbPr connection="Provider=Microsoft.Mashup.OleDb.1;Data Source=$Workbook$;Location=&quot;Table_2002_113_03&quot;;Extended Properties=&quot;&quot;" commandType="0"/>
  </connection>
  <connection id="2404" xr16:uid="{4BE2F0B9-D2B0-4FFF-9951-81B706ECDAC6}" keepAlive="1" name="連線794" type="5" refreshedVersion="0" background="1">
    <dbPr connection="Provider=Microsoft.Mashup.OleDb.1;Data Source=$Workbook$;Location=&quot;Table_2002_113_02&quot;;Extended Properties=&quot;&quot;" commandType="0"/>
  </connection>
  <connection id="2405" xr16:uid="{C23B961A-BE09-45A4-AB65-87B39B99EE9C}" keepAlive="1" name="連線795" type="5" refreshedVersion="0" background="1">
    <dbPr connection="Provider=Microsoft.Mashup.OleDb.1;Data Source=$Workbook$;Location=&quot;Table_2002_113_01&quot;;Extended Properties=&quot;&quot;" commandType="0"/>
  </connection>
  <connection id="2406" xr16:uid="{7FC7ED80-1AE8-499D-A521-836204E8E8B7}" keepAlive="1" name="連線796" type="5" refreshedVersion="0" background="1">
    <dbPr connection="Provider=Microsoft.Mashup.OleDb.1;Data Source=$Workbook$;Location=&quot;Table_2882_113_03&quot;;Extended Properties=&quot;&quot;" commandType="0"/>
  </connection>
  <connection id="2407" xr16:uid="{55E7A309-EDED-410B-978A-F5FD756C7108}" keepAlive="1" name="連線797" type="5" refreshedVersion="0" background="1">
    <dbPr connection="Provider=Microsoft.Mashup.OleDb.1;Data Source=$Workbook$;Location=&quot;Table_2882_113_02&quot;;Extended Properties=&quot;&quot;" commandType="0"/>
  </connection>
  <connection id="2408" xr16:uid="{1754A435-59F4-4C08-A8A2-8D38FC70876D}" keepAlive="1" name="連線798" type="5" refreshedVersion="0" background="1">
    <dbPr connection="Provider=Microsoft.Mashup.OleDb.1;Data Source=$Workbook$;Location=&quot;Table_2882_113_01&quot;;Extended Properties=&quot;&quot;" commandType="0"/>
  </connection>
  <connection id="2409" xr16:uid="{1D6EA18F-615F-47AB-9A75-98DFEB95BA51}" keepAlive="1" name="連線799" type="5" refreshedVersion="0" background="1">
    <dbPr connection="Provider=Microsoft.Mashup.OleDb.1;Data Source=$Workbook$;Location=&quot;Table_2330_113_03&quot;;Extended Properties=&quot;&quot;" commandType="0"/>
  </connection>
  <connection id="2410" xr16:uid="{DA5F15A3-B5CB-49A8-AF67-9397C8F41402}" keepAlive="1" name="連線8" type="5" refreshedVersion="0" background="1">
    <dbPr connection="Provider=Microsoft.Mashup.OleDb.1;Data Source=$Workbook$;Location=&quot;Table 6&quot;;Extended Properties=&quot;&quot;" commandType="0"/>
  </connection>
  <connection id="2411" xr16:uid="{E3AC083D-E4F6-4644-85DF-7FC96AA38D0A}" keepAlive="1" name="連線80" type="5" refreshedVersion="0" background="1">
    <dbPr connection="Provider=Microsoft.Mashup.OleDb.1;Data Source=$Workbook$;Location=&quot;Table_2330_113_01&quot;;Extended Properties=&quot;&quot;" commandType="0"/>
  </connection>
  <connection id="2412" xr16:uid="{D66CE985-AF14-464C-922C-6F9FE5921674}" keepAlive="1" name="連線800" type="5" refreshedVersion="0" background="1">
    <dbPr connection="Provider=Microsoft.Mashup.OleDb.1;Data Source=$Workbook$;Location=&quot;Table_2330_113_02&quot;;Extended Properties=&quot;&quot;" commandType="0"/>
  </connection>
  <connection id="2413" xr16:uid="{6C4962EB-B01C-4727-A2FA-3855D55C02C3}" keepAlive="1" name="連線801" type="5" refreshedVersion="0" background="1">
    <dbPr connection="Provider=Microsoft.Mashup.OleDb.1;Data Source=$Workbook$;Location=&quot;Table_2330_113_01&quot;;Extended Properties=&quot;&quot;" commandType="0"/>
  </connection>
  <connection id="2414" xr16:uid="{E47A077B-E897-408E-A795-C59077928100}" keepAlive="1" name="連線802" type="5" refreshedVersion="0" background="1">
    <dbPr connection="Provider=Microsoft.Mashup.OleDb.1;Data Source=$Workbook$;Location=&quot;Table_1101_113_03&quot;;Extended Properties=&quot;&quot;" commandType="0"/>
  </connection>
  <connection id="2415" xr16:uid="{84ACEA85-8327-427E-98EC-ED3DC6EFA259}" keepAlive="1" name="連線803" type="5" refreshedVersion="0" background="1">
    <dbPr connection="Provider=Microsoft.Mashup.OleDb.1;Data Source=$Workbook$;Location=&quot;Table_1101_113_02&quot;;Extended Properties=&quot;&quot;" commandType="0"/>
  </connection>
  <connection id="2416" xr16:uid="{066F38FC-6222-4B73-80BA-F4D3ACA9A7C4}" keepAlive="1" name="連線804" type="5" refreshedVersion="0" background="1">
    <dbPr connection="Provider=Microsoft.Mashup.OleDb.1;Data Source=$Workbook$;Location=&quot;Table_1101_113_01&quot;;Extended Properties=&quot;&quot;" commandType="0"/>
  </connection>
  <connection id="2417" xr16:uid="{82A46491-D5B4-40A3-8836-159F1D708006}" keepAlive="1" name="連線805" type="5" refreshedVersion="0" background="1">
    <dbPr connection="Provider=Microsoft.Mashup.OleDb.1;Data Source=$Workbook$;Location=&quot;Table_2912_113_03&quot;;Extended Properties=&quot;&quot;" commandType="0"/>
  </connection>
  <connection id="2418" xr16:uid="{2FA3AAF6-CD3B-4FF5-976B-FDE2A7463190}" keepAlive="1" name="連線806" type="5" refreshedVersion="0" background="1">
    <dbPr connection="Provider=Microsoft.Mashup.OleDb.1;Data Source=$Workbook$;Location=&quot;Table_2912_113_02&quot;;Extended Properties=&quot;&quot;" commandType="0"/>
  </connection>
  <connection id="2419" xr16:uid="{B7F1E197-9390-499E-B1E2-7670458B41CC}" keepAlive="1" name="連線807" type="5" refreshedVersion="0" background="1">
    <dbPr connection="Provider=Microsoft.Mashup.OleDb.1;Data Source=$Workbook$;Location=&quot;Table_2912_113_01&quot;;Extended Properties=&quot;&quot;" commandType="0"/>
  </connection>
  <connection id="2420" xr16:uid="{356B0D86-365E-4108-B1B3-82B03B9566C2}" keepAlive="1" name="連線808" type="5" refreshedVersion="0" background="1">
    <dbPr connection="Provider=Microsoft.Mashup.OleDb.1;Data Source=$Workbook$;Location=&quot;Table_2002_113_03&quot;;Extended Properties=&quot;&quot;" commandType="0"/>
  </connection>
  <connection id="2421" xr16:uid="{2305543A-3E27-4D33-8FF7-B95EF8819F40}" keepAlive="1" name="連線809" type="5" refreshedVersion="0" background="1">
    <dbPr connection="Provider=Microsoft.Mashup.OleDb.1;Data Source=$Workbook$;Location=&quot;Table_2002_113_02&quot;;Extended Properties=&quot;&quot;" commandType="0"/>
  </connection>
  <connection id="2422" xr16:uid="{F4C60E6A-8F73-443D-9D8C-A46D58042BC6}" keepAlive="1" name="連線81" type="5" refreshedVersion="0" background="1">
    <dbPr connection="Provider=Microsoft.Mashup.OleDb.1;Data Source=$Workbook$;Location=&quot;Table_2330_113_02&quot;;Extended Properties=&quot;&quot;" commandType="0"/>
  </connection>
  <connection id="2423" xr16:uid="{2AC9D76F-8C60-4E9B-AD4C-A1377F3BBB8D}" keepAlive="1" name="連線810" type="5" refreshedVersion="0" background="1">
    <dbPr connection="Provider=Microsoft.Mashup.OleDb.1;Data Source=$Workbook$;Location=&quot;Table_2002_113_01&quot;;Extended Properties=&quot;&quot;" commandType="0"/>
  </connection>
  <connection id="2424" xr16:uid="{915D4B13-3AA0-4965-9B10-B62739A7DE57}" keepAlive="1" name="連線811" type="5" refreshedVersion="0" background="1">
    <dbPr connection="Provider=Microsoft.Mashup.OleDb.1;Data Source=$Workbook$;Location=&quot;Table_2882_113_03&quot;;Extended Properties=&quot;&quot;" commandType="0"/>
  </connection>
  <connection id="2425" xr16:uid="{BC33C57F-9440-4965-809D-C1BD5BB8F586}" keepAlive="1" name="連線812" type="5" refreshedVersion="0" background="1">
    <dbPr connection="Provider=Microsoft.Mashup.OleDb.1;Data Source=$Workbook$;Location=&quot;Table_2882_113_02&quot;;Extended Properties=&quot;&quot;" commandType="0"/>
  </connection>
  <connection id="2426" xr16:uid="{7C057CF1-61D3-4DAF-892B-B1A43462665F}" keepAlive="1" name="連線813" type="5" refreshedVersion="0" background="1">
    <dbPr connection="Provider=Microsoft.Mashup.OleDb.1;Data Source=$Workbook$;Location=&quot;Table_2882_113_01&quot;;Extended Properties=&quot;&quot;" commandType="0"/>
  </connection>
  <connection id="2427" xr16:uid="{B88E297D-0B15-4E7D-A007-E81A18A31D89}" keepAlive="1" name="連線814" type="5" refreshedVersion="0" background="1">
    <dbPr connection="Provider=Microsoft.Mashup.OleDb.1;Data Source=$Workbook$;Location=&quot;Table_2330_113_03&quot;;Extended Properties=&quot;&quot;" commandType="0"/>
  </connection>
  <connection id="2428" xr16:uid="{23211EB2-9B9F-4B67-BF93-7011FAB8F8AE}" keepAlive="1" name="連線815" type="5" refreshedVersion="0" background="1">
    <dbPr connection="Provider=Microsoft.Mashup.OleDb.1;Data Source=$Workbook$;Location=&quot;Table_2330_113_02&quot;;Extended Properties=&quot;&quot;" commandType="0"/>
  </connection>
  <connection id="2429" xr16:uid="{E934A262-AE35-4EEF-82FE-A38068970297}" keepAlive="1" name="連線816" type="5" refreshedVersion="0" background="1">
    <dbPr connection="Provider=Microsoft.Mashup.OleDb.1;Data Source=$Workbook$;Location=&quot;Table_2330_113_01&quot;;Extended Properties=&quot;&quot;" commandType="0"/>
  </connection>
  <connection id="2430" xr16:uid="{4F7928BD-A28D-4F0C-9441-167975F07941}" keepAlive="1" name="連線817" type="5" refreshedVersion="0" background="1">
    <dbPr connection="Provider=Microsoft.Mashup.OleDb.1;Data Source=$Workbook$;Location=&quot;Table_1101_113_03&quot;;Extended Properties=&quot;&quot;" commandType="0"/>
  </connection>
  <connection id="2431" xr16:uid="{A5281E67-995C-4BB8-8267-CCB7DEF41B4B}" keepAlive="1" name="連線818" type="5" refreshedVersion="0" background="1">
    <dbPr connection="Provider=Microsoft.Mashup.OleDb.1;Data Source=$Workbook$;Location=&quot;Table_1101_113_02&quot;;Extended Properties=&quot;&quot;" commandType="0"/>
  </connection>
  <connection id="2432" xr16:uid="{1A28FA5D-A8B6-4B12-BE5F-BD6B9191381F}" keepAlive="1" name="連線819" type="5" refreshedVersion="0" background="1">
    <dbPr connection="Provider=Microsoft.Mashup.OleDb.1;Data Source=$Workbook$;Location=&quot;Table_1101_113_01&quot;;Extended Properties=&quot;&quot;" commandType="0"/>
  </connection>
  <connection id="2433" xr16:uid="{529CE5F7-0BAD-4377-AA57-E29E0B254C7E}" keepAlive="1" name="連線82" type="5" refreshedVersion="0" background="1">
    <dbPr connection="Provider=Microsoft.Mashup.OleDb.1;Data Source=$Workbook$;Location=&quot;Table_2330_113_03&quot;;Extended Properties=&quot;&quot;" commandType="0"/>
  </connection>
  <connection id="2434" xr16:uid="{1643DDB5-B976-463E-95B1-F857059E836F}" keepAlive="1" name="連線820" type="5" refreshedVersion="0" background="1">
    <dbPr connection="Provider=Microsoft.Mashup.OleDb.1;Data Source=$Workbook$;Location=&quot;Table_2912_113_03&quot;;Extended Properties=&quot;&quot;" commandType="0"/>
  </connection>
  <connection id="2435" xr16:uid="{D4641A9E-4D40-4368-9D7A-FA7A2B6B4BE4}" keepAlive="1" name="連線821" type="5" refreshedVersion="0" background="1">
    <dbPr connection="Provider=Microsoft.Mashup.OleDb.1;Data Source=$Workbook$;Location=&quot;Table_2912_113_02&quot;;Extended Properties=&quot;&quot;" commandType="0"/>
  </connection>
  <connection id="2436" xr16:uid="{15862D6B-FD39-4831-B5B5-4DFEA1AF2C8A}" keepAlive="1" name="連線822" type="5" refreshedVersion="0" background="1">
    <dbPr connection="Provider=Microsoft.Mashup.OleDb.1;Data Source=$Workbook$;Location=&quot;Table_2912_113_01&quot;;Extended Properties=&quot;&quot;" commandType="0"/>
  </connection>
  <connection id="2437" xr16:uid="{8D7B4B42-58DE-47BE-8CF3-05317F8B5E18}" keepAlive="1" name="連線823" type="5" refreshedVersion="0" background="1">
    <dbPr connection="Provider=Microsoft.Mashup.OleDb.1;Data Source=$Workbook$;Location=&quot;Table_2002_113_03&quot;;Extended Properties=&quot;&quot;" commandType="0"/>
  </connection>
  <connection id="2438" xr16:uid="{E09DAE4E-DA15-49D1-89FD-E3E3CB3DC2A3}" keepAlive="1" name="連線824" type="5" refreshedVersion="0" background="1">
    <dbPr connection="Provider=Microsoft.Mashup.OleDb.1;Data Source=$Workbook$;Location=&quot;Table_2002_113_02&quot;;Extended Properties=&quot;&quot;" commandType="0"/>
  </connection>
  <connection id="2439" xr16:uid="{38AEB2CC-0A2F-453C-A547-22313AB33A4B}" keepAlive="1" name="連線825" type="5" refreshedVersion="0" background="1">
    <dbPr connection="Provider=Microsoft.Mashup.OleDb.1;Data Source=$Workbook$;Location=&quot;Table_2002_113_01&quot;;Extended Properties=&quot;&quot;" commandType="0"/>
  </connection>
  <connection id="2440" xr16:uid="{EE5E59F1-89FD-4790-8958-A89E56FE3DFB}" keepAlive="1" name="連線826" type="5" refreshedVersion="0" background="1">
    <dbPr connection="Provider=Microsoft.Mashup.OleDb.1;Data Source=$Workbook$;Location=&quot;Table_2882_113_03&quot;;Extended Properties=&quot;&quot;" commandType="0"/>
  </connection>
  <connection id="2441" xr16:uid="{6944D23D-B2CF-4AF5-8768-1FFAD7C41B1C}" keepAlive="1" name="連線827" type="5" refreshedVersion="0" background="1">
    <dbPr connection="Provider=Microsoft.Mashup.OleDb.1;Data Source=$Workbook$;Location=&quot;Table_2882_113_02&quot;;Extended Properties=&quot;&quot;" commandType="0"/>
  </connection>
  <connection id="2442" xr16:uid="{D992CF99-3B3C-4B33-855D-5DC28A6161B0}" keepAlive="1" name="連線828" type="5" refreshedVersion="0" background="1">
    <dbPr connection="Provider=Microsoft.Mashup.OleDb.1;Data Source=$Workbook$;Location=&quot;Table_2882_113_01&quot;;Extended Properties=&quot;&quot;" commandType="0"/>
  </connection>
  <connection id="2443" xr16:uid="{9390014D-DDCB-4676-BEAA-0C338851A308}" keepAlive="1" name="連線829" type="5" refreshedVersion="0" background="1">
    <dbPr connection="Provider=Microsoft.Mashup.OleDb.1;Data Source=$Workbook$;Location=&quot;Table_2330_113_03&quot;;Extended Properties=&quot;&quot;" commandType="0"/>
  </connection>
  <connection id="2444" xr16:uid="{3FFD1D5D-5A45-4659-AE9D-B98C542447BA}" keepAlive="1" name="連線83" type="5" refreshedVersion="0" background="1">
    <dbPr connection="Provider=Microsoft.Mashup.OleDb.1;Data Source=$Workbook$;Location=&quot;Table_2002_113_01&quot;;Extended Properties=&quot;&quot;" commandType="0"/>
  </connection>
  <connection id="2445" xr16:uid="{A62371CB-DFC6-4362-A1BC-363D94B56D3C}" keepAlive="1" name="連線830" type="5" refreshedVersion="0" background="1">
    <dbPr connection="Provider=Microsoft.Mashup.OleDb.1;Data Source=$Workbook$;Location=&quot;Table_2330_113_02&quot;;Extended Properties=&quot;&quot;" commandType="0"/>
  </connection>
  <connection id="2446" xr16:uid="{78C162FF-DC26-41BA-90BB-55FB106AF73B}" keepAlive="1" name="連線831" type="5" refreshedVersion="0" background="1">
    <dbPr connection="Provider=Microsoft.Mashup.OleDb.1;Data Source=$Workbook$;Location=&quot;Table_2330_113_01&quot;;Extended Properties=&quot;&quot;" commandType="0"/>
  </connection>
  <connection id="2447" xr16:uid="{3DB247A4-16EB-46B8-9934-A49D371E38EB}" keepAlive="1" name="連線832" type="5" refreshedVersion="0" background="1">
    <dbPr connection="Provider=Microsoft.Mashup.OleDb.1;Data Source=$Workbook$;Location=&quot;Table_1101_113_03&quot;;Extended Properties=&quot;&quot;" commandType="0"/>
  </connection>
  <connection id="2448" xr16:uid="{DA39B724-4661-4C3D-BA96-29623D0BCC33}" keepAlive="1" name="連線833" type="5" refreshedVersion="0" background="1">
    <dbPr connection="Provider=Microsoft.Mashup.OleDb.1;Data Source=$Workbook$;Location=&quot;Table_1101_113_02&quot;;Extended Properties=&quot;&quot;" commandType="0"/>
  </connection>
  <connection id="2449" xr16:uid="{83CC304B-902D-4835-8625-537863FEEF70}" keepAlive="1" name="連線834" type="5" refreshedVersion="0" background="1">
    <dbPr connection="Provider=Microsoft.Mashup.OleDb.1;Data Source=$Workbook$;Location=&quot;Table_1101_113_01&quot;;Extended Properties=&quot;&quot;" commandType="0"/>
  </connection>
  <connection id="2450" xr16:uid="{9B76DA94-11CC-4C73-BC1A-98A5F31C12C9}" keepAlive="1" name="連線835" type="5" refreshedVersion="0" background="1">
    <dbPr connection="Provider=Microsoft.Mashup.OleDb.1;Data Source=$Workbook$;Location=&quot;Table_2912_113_03&quot;;Extended Properties=&quot;&quot;" commandType="0"/>
  </connection>
  <connection id="2451" xr16:uid="{3F77D5B4-5B03-48BD-99DA-77F35B280B32}" keepAlive="1" name="連線836" type="5" refreshedVersion="0" background="1">
    <dbPr connection="Provider=Microsoft.Mashup.OleDb.1;Data Source=$Workbook$;Location=&quot;Table_2912_113_02&quot;;Extended Properties=&quot;&quot;" commandType="0"/>
  </connection>
  <connection id="2452" xr16:uid="{763BE2B5-D66E-459B-A31A-A53114F959EC}" keepAlive="1" name="連線837" type="5" refreshedVersion="0" background="1">
    <dbPr connection="Provider=Microsoft.Mashup.OleDb.1;Data Source=$Workbook$;Location=&quot;Table_2912_113_01&quot;;Extended Properties=&quot;&quot;" commandType="0"/>
  </connection>
  <connection id="2453" xr16:uid="{2DF86792-630C-4AC0-93D2-48A082E9C83D}" keepAlive="1" name="連線838" type="5" refreshedVersion="0" background="1">
    <dbPr connection="Provider=Microsoft.Mashup.OleDb.1;Data Source=$Workbook$;Location=&quot;Table_2002_113_03&quot;;Extended Properties=&quot;&quot;" commandType="0"/>
  </connection>
  <connection id="2454" xr16:uid="{18CE215A-9D61-4524-821D-38324539D5DB}" keepAlive="1" name="連線839" type="5" refreshedVersion="0" background="1">
    <dbPr connection="Provider=Microsoft.Mashup.OleDb.1;Data Source=$Workbook$;Location=&quot;Table_2002_113_02&quot;;Extended Properties=&quot;&quot;" commandType="0"/>
  </connection>
  <connection id="2455" xr16:uid="{1021A2C7-0092-4CAB-A172-93A0D61B9A72}" keepAlive="1" name="連線84" type="5" refreshedVersion="0" background="1">
    <dbPr connection="Provider=Microsoft.Mashup.OleDb.1;Data Source=$Workbook$;Location=&quot;Table_2002_113_02&quot;;Extended Properties=&quot;&quot;" commandType="0"/>
  </connection>
  <connection id="2456" xr16:uid="{DE88D1A9-0547-46AC-B548-ED71CFF3EE44}" keepAlive="1" name="連線840" type="5" refreshedVersion="0" background="1">
    <dbPr connection="Provider=Microsoft.Mashup.OleDb.1;Data Source=$Workbook$;Location=&quot;Table_2002_113_01&quot;;Extended Properties=&quot;&quot;" commandType="0"/>
  </connection>
  <connection id="2457" xr16:uid="{5080B745-BF73-48A6-A736-2F8412D70BB5}" keepAlive="1" name="連線841" type="5" refreshedVersion="0" background="1">
    <dbPr connection="Provider=Microsoft.Mashup.OleDb.1;Data Source=$Workbook$;Location=&quot;Table_2882_113_03&quot;;Extended Properties=&quot;&quot;" commandType="0"/>
  </connection>
  <connection id="2458" xr16:uid="{C382F92A-CEDD-4792-9EA5-F42D4EDB3F54}" keepAlive="1" name="連線842" type="5" refreshedVersion="0" background="1">
    <dbPr connection="Provider=Microsoft.Mashup.OleDb.1;Data Source=$Workbook$;Location=&quot;Table_2882_113_02&quot;;Extended Properties=&quot;&quot;" commandType="0"/>
  </connection>
  <connection id="2459" xr16:uid="{4FFEFE89-CA79-4588-A125-31A49B5DDEEB}" keepAlive="1" name="連線843" type="5" refreshedVersion="0" background="1">
    <dbPr connection="Provider=Microsoft.Mashup.OleDb.1;Data Source=$Workbook$;Location=&quot;Table_2882_113_01&quot;;Extended Properties=&quot;&quot;" commandType="0"/>
  </connection>
  <connection id="2460" xr16:uid="{400C9E27-4E94-408D-8358-C5B6A7B8DE5C}" keepAlive="1" name="連線844" type="5" refreshedVersion="0" background="1">
    <dbPr connection="Provider=Microsoft.Mashup.OleDb.1;Data Source=$Workbook$;Location=&quot;Table_2330_113_03&quot;;Extended Properties=&quot;&quot;" commandType="0"/>
  </connection>
  <connection id="2461" xr16:uid="{035F7970-C5FC-4514-ABBC-1E31269BCCF3}" keepAlive="1" name="連線845" type="5" refreshedVersion="0" background="1">
    <dbPr connection="Provider=Microsoft.Mashup.OleDb.1;Data Source=$Workbook$;Location=&quot;Table_2330_113_02&quot;;Extended Properties=&quot;&quot;" commandType="0"/>
  </connection>
  <connection id="2462" xr16:uid="{3DC002B3-5B11-4956-9597-198C6E8BAB71}" keepAlive="1" name="連線846" type="5" refreshedVersion="0" background="1">
    <dbPr connection="Provider=Microsoft.Mashup.OleDb.1;Data Source=$Workbook$;Location=&quot;Table_2330_113_01&quot;;Extended Properties=&quot;&quot;" commandType="0"/>
  </connection>
  <connection id="2463" xr16:uid="{A5FD8955-365E-4967-AFCA-CDB391FEA9CE}" keepAlive="1" name="連線847" type="5" refreshedVersion="0" background="1">
    <dbPr connection="Provider=Microsoft.Mashup.OleDb.1;Data Source=$Workbook$;Location=&quot;Table_1101_113_03&quot;;Extended Properties=&quot;&quot;" commandType="0"/>
  </connection>
  <connection id="2464" xr16:uid="{0F4E6A25-EA75-44F4-A1B4-EFFFC3442BB9}" keepAlive="1" name="連線848" type="5" refreshedVersion="0" background="1">
    <dbPr connection="Provider=Microsoft.Mashup.OleDb.1;Data Source=$Workbook$;Location=&quot;Table_1101_113_02&quot;;Extended Properties=&quot;&quot;" commandType="0"/>
  </connection>
  <connection id="2465" xr16:uid="{1F657963-156D-4852-AFB9-EAB747CFADE5}" keepAlive="1" name="連線849" type="5" refreshedVersion="0" background="1">
    <dbPr connection="Provider=Microsoft.Mashup.OleDb.1;Data Source=$Workbook$;Location=&quot;Table_1101_113_01&quot;;Extended Properties=&quot;&quot;" commandType="0"/>
  </connection>
  <connection id="2466" xr16:uid="{52E8F61B-2483-423F-B3A1-5C31BF6DA909}" keepAlive="1" name="連線85" type="5" refreshedVersion="0" background="1">
    <dbPr connection="Provider=Microsoft.Mashup.OleDb.1;Data Source=$Workbook$;Location=&quot;Table_2002_113_03&quot;;Extended Properties=&quot;&quot;" commandType="0"/>
  </connection>
  <connection id="2467" xr16:uid="{F39AC9CA-5E07-46EF-9878-1B22D8B45DCA}" keepAlive="1" name="連線850" type="5" refreshedVersion="0" background="1">
    <dbPr connection="Provider=Microsoft.Mashup.OleDb.1;Data Source=$Workbook$;Location=&quot;Table_2912_113_03&quot;;Extended Properties=&quot;&quot;" commandType="0"/>
  </connection>
  <connection id="2468" xr16:uid="{8F1ADC6B-C8FA-45EC-A0A1-16B141E8200C}" keepAlive="1" name="連線851" type="5" refreshedVersion="0" background="1">
    <dbPr connection="Provider=Microsoft.Mashup.OleDb.1;Data Source=$Workbook$;Location=&quot;Table_2912_113_02&quot;;Extended Properties=&quot;&quot;" commandType="0"/>
  </connection>
  <connection id="2469" xr16:uid="{629C7151-42A7-4887-8919-602729ACD3D2}" keepAlive="1" name="連線852" type="5" refreshedVersion="0" background="1">
    <dbPr connection="Provider=Microsoft.Mashup.OleDb.1;Data Source=$Workbook$;Location=&quot;Table_2912_113_01&quot;;Extended Properties=&quot;&quot;" commandType="0"/>
  </connection>
  <connection id="2470" xr16:uid="{C64D9345-D461-4A96-A277-E410FA43DB8C}" keepAlive="1" name="連線853" type="5" refreshedVersion="0" background="1">
    <dbPr connection="Provider=Microsoft.Mashup.OleDb.1;Data Source=$Workbook$;Location=&quot;Table_2002_113_03&quot;;Extended Properties=&quot;&quot;" commandType="0"/>
  </connection>
  <connection id="2471" xr16:uid="{06623979-9DED-4F2A-92AF-CA7C9E4A4B09}" keepAlive="1" name="連線854" type="5" refreshedVersion="0" background="1">
    <dbPr connection="Provider=Microsoft.Mashup.OleDb.1;Data Source=$Workbook$;Location=&quot;Table_2002_113_02&quot;;Extended Properties=&quot;&quot;" commandType="0"/>
  </connection>
  <connection id="2472" xr16:uid="{29EA5C6C-22EE-487C-97FB-06295EB42BDD}" keepAlive="1" name="連線855" type="5" refreshedVersion="0" background="1">
    <dbPr connection="Provider=Microsoft.Mashup.OleDb.1;Data Source=$Workbook$;Location=&quot;Table_2002_113_01&quot;;Extended Properties=&quot;&quot;" commandType="0"/>
  </connection>
  <connection id="2473" xr16:uid="{90EBAE42-DFDB-4DDB-82AE-481E86410BA6}" keepAlive="1" name="連線856" type="5" refreshedVersion="0" background="1">
    <dbPr connection="Provider=Microsoft.Mashup.OleDb.1;Data Source=$Workbook$;Location=&quot;Table_2882_113_03&quot;;Extended Properties=&quot;&quot;" commandType="0"/>
  </connection>
  <connection id="2474" xr16:uid="{21BEC9A6-CE5F-471D-AE45-A152DFD022A1}" keepAlive="1" name="連線857" type="5" refreshedVersion="0" background="1">
    <dbPr connection="Provider=Microsoft.Mashup.OleDb.1;Data Source=$Workbook$;Location=&quot;Table_2882_113_02&quot;;Extended Properties=&quot;&quot;" commandType="0"/>
  </connection>
  <connection id="2475" xr16:uid="{5703DCD5-A9C6-4E71-9C05-77EA76D5C26C}" keepAlive="1" name="連線858" type="5" refreshedVersion="0" background="1">
    <dbPr connection="Provider=Microsoft.Mashup.OleDb.1;Data Source=$Workbook$;Location=&quot;Table_2882_113_01&quot;;Extended Properties=&quot;&quot;" commandType="0"/>
  </connection>
  <connection id="2476" xr16:uid="{7FE0A527-176D-4FA8-9E17-3F568FB99EFB}" keepAlive="1" name="連線859" type="5" refreshedVersion="0" background="1">
    <dbPr connection="Provider=Microsoft.Mashup.OleDb.1;Data Source=$Workbook$;Location=&quot;Table_2330_113_03&quot;;Extended Properties=&quot;&quot;" commandType="0"/>
  </connection>
  <connection id="2477" xr16:uid="{F50736D5-BF03-499B-BE39-7D938173B7C9}" keepAlive="1" name="連線86" type="5" refreshedVersion="0" background="1">
    <dbPr connection="Provider=Microsoft.Mashup.OleDb.1;Data Source=$Workbook$;Location=&quot;Table_投資組合比重__&quot;;Extended Properties=&quot;&quot;" commandType="0"/>
  </connection>
  <connection id="2478" xr16:uid="{234D8539-D8B4-49EE-BADD-131605FCBE1B}" keepAlive="1" name="連線860" type="5" refreshedVersion="0" background="1">
    <dbPr connection="Provider=Microsoft.Mashup.OleDb.1;Data Source=$Workbook$;Location=&quot;Table_2330_113_02&quot;;Extended Properties=&quot;&quot;" commandType="0"/>
  </connection>
  <connection id="2479" xr16:uid="{DEA44D7C-A842-4002-971C-8F9DA9CFDEFA}" keepAlive="1" name="連線861" type="5" refreshedVersion="0" background="1">
    <dbPr connection="Provider=Microsoft.Mashup.OleDb.1;Data Source=$Workbook$;Location=&quot;Table_2330_113_01&quot;;Extended Properties=&quot;&quot;" commandType="0"/>
  </connection>
  <connection id="2480" xr16:uid="{860A7076-599A-42AE-B61F-975640405C51}" keepAlive="1" name="連線862" type="5" refreshedVersion="0" background="1">
    <dbPr connection="Provider=Microsoft.Mashup.OleDb.1;Data Source=$Workbook$;Location=&quot;Table_1101_113_03&quot;;Extended Properties=&quot;&quot;" commandType="0"/>
  </connection>
  <connection id="2481" xr16:uid="{CA2D934B-8F3F-43A2-B560-07F3C4D2EA80}" keepAlive="1" name="連線863" type="5" refreshedVersion="0" background="1">
    <dbPr connection="Provider=Microsoft.Mashup.OleDb.1;Data Source=$Workbook$;Location=&quot;Table_1101_113_02&quot;;Extended Properties=&quot;&quot;" commandType="0"/>
  </connection>
  <connection id="2482" xr16:uid="{C5D0A3BC-69BA-45F4-AD87-DC99EECCF9A9}" keepAlive="1" name="連線864" type="5" refreshedVersion="0" background="1">
    <dbPr connection="Provider=Microsoft.Mashup.OleDb.1;Data Source=$Workbook$;Location=&quot;Table_1101_113_01&quot;;Extended Properties=&quot;&quot;" commandType="0"/>
  </connection>
  <connection id="2483" xr16:uid="{71884134-B096-44BD-A9E3-E5FE847ACA95}" keepAlive="1" name="連線865" type="5" refreshedVersion="0" background="1">
    <dbPr connection="Provider=Microsoft.Mashup.OleDb.1;Data Source=$Workbook$;Location=&quot;Table_2912_113_03&quot;;Extended Properties=&quot;&quot;" commandType="0"/>
  </connection>
  <connection id="2484" xr16:uid="{59D094C9-D81C-4766-BACF-C32499D0B550}" keepAlive="1" name="連線866" type="5" refreshedVersion="0" background="1">
    <dbPr connection="Provider=Microsoft.Mashup.OleDb.1;Data Source=$Workbook$;Location=&quot;Table_2912_113_02&quot;;Extended Properties=&quot;&quot;" commandType="0"/>
  </connection>
  <connection id="2485" xr16:uid="{579447A7-D597-4608-8C92-3D5BDD4E2123}" keepAlive="1" name="連線867" type="5" refreshedVersion="0" background="1">
    <dbPr connection="Provider=Microsoft.Mashup.OleDb.1;Data Source=$Workbook$;Location=&quot;Table_2912_113_01&quot;;Extended Properties=&quot;&quot;" commandType="0"/>
  </connection>
  <connection id="2486" xr16:uid="{18870EC1-B309-469A-BDC8-F5F7D6CCB8E0}" keepAlive="1" name="連線868" type="5" refreshedVersion="0" background="1">
    <dbPr connection="Provider=Microsoft.Mashup.OleDb.1;Data Source=$Workbook$;Location=&quot;Table_2002_113_03&quot;;Extended Properties=&quot;&quot;" commandType="0"/>
  </connection>
  <connection id="2487" xr16:uid="{00698315-6CA8-42D0-AFD1-3AF63CE677BA}" keepAlive="1" name="連線869" type="5" refreshedVersion="0" background="1">
    <dbPr connection="Provider=Microsoft.Mashup.OleDb.1;Data Source=$Workbook$;Location=&quot;Table_2002_113_02&quot;;Extended Properties=&quot;&quot;" commandType="0"/>
  </connection>
  <connection id="2488" xr16:uid="{8673439B-7F39-44E4-BEBF-18F81B7E705B}" keepAlive="1" name="連線87" type="5" refreshedVersion="0" background="1">
    <dbPr connection="Provider=Microsoft.Mashup.OleDb.1;Data Source=$Workbook$;Location=&quot;Table_2330_113_01&quot;;Extended Properties=&quot;&quot;" commandType="0"/>
  </connection>
  <connection id="2489" xr16:uid="{C5F6527B-ED4A-46DD-B791-502FCF494D2B}" keepAlive="1" name="連線870" type="5" refreshedVersion="0" background="1">
    <dbPr connection="Provider=Microsoft.Mashup.OleDb.1;Data Source=$Workbook$;Location=&quot;Table_2002_113_01&quot;;Extended Properties=&quot;&quot;" commandType="0"/>
  </connection>
  <connection id="2490" xr16:uid="{CCCA1A81-3D79-4586-BC2D-53284345D8A7}" keepAlive="1" name="連線871" type="5" refreshedVersion="0" background="1">
    <dbPr connection="Provider=Microsoft.Mashup.OleDb.1;Data Source=$Workbook$;Location=&quot;Table_2882_113_03&quot;;Extended Properties=&quot;&quot;" commandType="0"/>
  </connection>
  <connection id="2491" xr16:uid="{D4E98EDA-89FA-4A01-8BC7-9AAC788C4A97}" keepAlive="1" name="連線872" type="5" refreshedVersion="0" background="1">
    <dbPr connection="Provider=Microsoft.Mashup.OleDb.1;Data Source=$Workbook$;Location=&quot;Table_2882_113_02&quot;;Extended Properties=&quot;&quot;" commandType="0"/>
  </connection>
  <connection id="2492" xr16:uid="{3DD30D61-9F72-4F03-9319-B777171BB014}" keepAlive="1" name="連線873" type="5" refreshedVersion="0" background="1">
    <dbPr connection="Provider=Microsoft.Mashup.OleDb.1;Data Source=$Workbook$;Location=&quot;Table_2882_113_01&quot;;Extended Properties=&quot;&quot;" commandType="0"/>
  </connection>
  <connection id="2493" xr16:uid="{2F9204CB-178E-428D-8B66-261A81A41BF4}" keepAlive="1" name="連線874" type="5" refreshedVersion="0" background="1">
    <dbPr connection="Provider=Microsoft.Mashup.OleDb.1;Data Source=$Workbook$;Location=&quot;Table_2330_113_03&quot;;Extended Properties=&quot;&quot;" commandType="0"/>
  </connection>
  <connection id="2494" xr16:uid="{B4EB0E4E-9507-4E0C-BCEF-E73B59036BF7}" keepAlive="1" name="連線875" type="5" refreshedVersion="0" background="1">
    <dbPr connection="Provider=Microsoft.Mashup.OleDb.1;Data Source=$Workbook$;Location=&quot;Table_2330_113_02&quot;;Extended Properties=&quot;&quot;" commandType="0"/>
  </connection>
  <connection id="2495" xr16:uid="{98D7A81E-5BEB-4AB9-A6BB-72A80E52A2F8}" keepAlive="1" name="連線876" type="5" refreshedVersion="0" background="1">
    <dbPr connection="Provider=Microsoft.Mashup.OleDb.1;Data Source=$Workbook$;Location=&quot;Table_2330_113_01&quot;;Extended Properties=&quot;&quot;" commandType="0"/>
  </connection>
  <connection id="2496" xr16:uid="{DF39CFAF-2472-4C4C-9D9E-6674817525D3}" keepAlive="1" name="連線877" type="5" refreshedVersion="0" background="1">
    <dbPr connection="Provider=Microsoft.Mashup.OleDb.1;Data Source=$Workbook$;Location=&quot;Table_1101_113_03&quot;;Extended Properties=&quot;&quot;" commandType="0"/>
  </connection>
  <connection id="2497" xr16:uid="{AEAFC959-1D82-47AD-89DE-8B95A480FC57}" keepAlive="1" name="連線878" type="5" refreshedVersion="0" background="1">
    <dbPr connection="Provider=Microsoft.Mashup.OleDb.1;Data Source=$Workbook$;Location=&quot;Table_1101_113_02&quot;;Extended Properties=&quot;&quot;" commandType="0"/>
  </connection>
  <connection id="2498" xr16:uid="{BB9675E1-6EF1-42B0-B5E2-EC85421E30B8}" keepAlive="1" name="連線879" type="5" refreshedVersion="0" background="1">
    <dbPr connection="Provider=Microsoft.Mashup.OleDb.1;Data Source=$Workbook$;Location=&quot;Table_1101_113_01&quot;;Extended Properties=&quot;&quot;" commandType="0"/>
  </connection>
  <connection id="2499" xr16:uid="{6AB7A10C-4240-4127-94B1-8BB56A04881B}" keepAlive="1" name="連線88" type="5" refreshedVersion="0" background="1">
    <dbPr connection="Provider=Microsoft.Mashup.OleDb.1;Data Source=$Workbook$;Location=&quot;Table_2330_113_02&quot;;Extended Properties=&quot;&quot;" commandType="0"/>
  </connection>
  <connection id="2500" xr16:uid="{FE5736F9-DA89-40F6-B65E-70C1135FA736}" keepAlive="1" name="連線880" type="5" refreshedVersion="0" background="1">
    <dbPr connection="Provider=Microsoft.Mashup.OleDb.1;Data Source=$Workbook$;Location=&quot;Table_2912_113_03&quot;;Extended Properties=&quot;&quot;" commandType="0"/>
  </connection>
  <connection id="2501" xr16:uid="{297845CE-4E73-4B11-A62B-0203FDE7A5B4}" keepAlive="1" name="連線881" type="5" refreshedVersion="0" background="1">
    <dbPr connection="Provider=Microsoft.Mashup.OleDb.1;Data Source=$Workbook$;Location=&quot;Table_2912_113_02&quot;;Extended Properties=&quot;&quot;" commandType="0"/>
  </connection>
  <connection id="2502" xr16:uid="{4CC06804-3D2D-4686-A271-37891E3C4A17}" keepAlive="1" name="連線882" type="5" refreshedVersion="0" background="1">
    <dbPr connection="Provider=Microsoft.Mashup.OleDb.1;Data Source=$Workbook$;Location=&quot;Table_2912_113_01&quot;;Extended Properties=&quot;&quot;" commandType="0"/>
  </connection>
  <connection id="2503" xr16:uid="{A0609AFE-028E-4F3D-825C-1C05E039CFEE}" keepAlive="1" name="連線883" type="5" refreshedVersion="0" background="1">
    <dbPr connection="Provider=Microsoft.Mashup.OleDb.1;Data Source=$Workbook$;Location=&quot;Table_2002_113_03&quot;;Extended Properties=&quot;&quot;" commandType="0"/>
  </connection>
  <connection id="2504" xr16:uid="{1AE82216-2877-4A25-81F2-D1727630B50C}" keepAlive="1" name="連線884" type="5" refreshedVersion="0" background="1">
    <dbPr connection="Provider=Microsoft.Mashup.OleDb.1;Data Source=$Workbook$;Location=&quot;Table_2002_113_02&quot;;Extended Properties=&quot;&quot;" commandType="0"/>
  </connection>
  <connection id="2505" xr16:uid="{445A01B3-6508-4B9D-84E6-C2A559B7A6EA}" keepAlive="1" name="連線885" type="5" refreshedVersion="0" background="1">
    <dbPr connection="Provider=Microsoft.Mashup.OleDb.1;Data Source=$Workbook$;Location=&quot;Table_2002_113_01&quot;;Extended Properties=&quot;&quot;" commandType="0"/>
  </connection>
  <connection id="2506" xr16:uid="{A84AF6A7-074F-40C8-96C2-C59F76A7C014}" keepAlive="1" name="連線886" type="5" refreshedVersion="0" background="1">
    <dbPr connection="Provider=Microsoft.Mashup.OleDb.1;Data Source=$Workbook$;Location=&quot;Table_2882_113_03&quot;;Extended Properties=&quot;&quot;" commandType="0"/>
  </connection>
  <connection id="2507" xr16:uid="{8864C84A-78E9-40BF-AD70-363ED10EAF52}" keepAlive="1" name="連線887" type="5" refreshedVersion="0" background="1">
    <dbPr connection="Provider=Microsoft.Mashup.OleDb.1;Data Source=$Workbook$;Location=&quot;Table_2882_113_02&quot;;Extended Properties=&quot;&quot;" commandType="0"/>
  </connection>
  <connection id="2508" xr16:uid="{11EEF2A3-1C50-4C09-A9A9-CB87ACB7C3E3}" keepAlive="1" name="連線888" type="5" refreshedVersion="0" background="1">
    <dbPr connection="Provider=Microsoft.Mashup.OleDb.1;Data Source=$Workbook$;Location=&quot;Table_2882_113_01&quot;;Extended Properties=&quot;&quot;" commandType="0"/>
  </connection>
  <connection id="2509" xr16:uid="{C81E643E-9C2F-4949-BAD0-266DC7EDA857}" keepAlive="1" name="連線889" type="5" refreshedVersion="0" background="1">
    <dbPr connection="Provider=Microsoft.Mashup.OleDb.1;Data Source=$Workbook$;Location=&quot;Table_2330_113_03&quot;;Extended Properties=&quot;&quot;" commandType="0"/>
  </connection>
  <connection id="2510" xr16:uid="{D58C3114-C77D-46E0-96F5-D7B3CD87DEEF}" keepAlive="1" name="連線89" type="5" refreshedVersion="0" background="1">
    <dbPr connection="Provider=Microsoft.Mashup.OleDb.1;Data Source=$Workbook$;Location=&quot;Table_2330_113_03&quot;;Extended Properties=&quot;&quot;" commandType="0"/>
  </connection>
  <connection id="2511" xr16:uid="{4C0CE23A-158C-43AA-9C80-7C3154300145}" keepAlive="1" name="連線890" type="5" refreshedVersion="0" background="1">
    <dbPr connection="Provider=Microsoft.Mashup.OleDb.1;Data Source=$Workbook$;Location=&quot;Table_2330_113_02&quot;;Extended Properties=&quot;&quot;" commandType="0"/>
  </connection>
  <connection id="2512" xr16:uid="{2F288514-CF63-47A7-8C51-C8B7C31C552C}" keepAlive="1" name="連線891" type="5" refreshedVersion="0" background="1">
    <dbPr connection="Provider=Microsoft.Mashup.OleDb.1;Data Source=$Workbook$;Location=&quot;Table_2330_113_01&quot;;Extended Properties=&quot;&quot;" commandType="0"/>
  </connection>
  <connection id="2513" xr16:uid="{AE270094-6B79-46DC-85FE-68D4F9CB7CD1}" keepAlive="1" name="連線892" type="5" refreshedVersion="0" background="1">
    <dbPr connection="Provider=Microsoft.Mashup.OleDb.1;Data Source=$Workbook$;Location=&quot;Table_1101_113_03&quot;;Extended Properties=&quot;&quot;" commandType="0"/>
  </connection>
  <connection id="2514" xr16:uid="{83D6451C-21C9-471B-A0D6-D0C9E4A44ECD}" keepAlive="1" name="連線893" type="5" refreshedVersion="0" background="1">
    <dbPr connection="Provider=Microsoft.Mashup.OleDb.1;Data Source=$Workbook$;Location=&quot;Table_1101_113_02&quot;;Extended Properties=&quot;&quot;" commandType="0"/>
  </connection>
  <connection id="2515" xr16:uid="{E24F4CB3-EEB1-4A41-A645-5AF25FA855D1}" keepAlive="1" name="連線894" type="5" refreshedVersion="0" background="1">
    <dbPr connection="Provider=Microsoft.Mashup.OleDb.1;Data Source=$Workbook$;Location=&quot;Table_1101_113_01&quot;;Extended Properties=&quot;&quot;" commandType="0"/>
  </connection>
  <connection id="2516" xr16:uid="{25A6FD98-6822-476F-A99B-70ADB627D3A0}" keepAlive="1" name="連線895" type="5" refreshedVersion="0" background="1">
    <dbPr connection="Provider=Microsoft.Mashup.OleDb.1;Data Source=$Workbook$;Location=&quot;Table_2912_113_03&quot;;Extended Properties=&quot;&quot;" commandType="0"/>
  </connection>
  <connection id="2517" xr16:uid="{C185D08D-C6E6-4703-82C6-42E6C6BBBA64}" keepAlive="1" name="連線896" type="5" refreshedVersion="0" background="1">
    <dbPr connection="Provider=Microsoft.Mashup.OleDb.1;Data Source=$Workbook$;Location=&quot;Table_2912_113_02&quot;;Extended Properties=&quot;&quot;" commandType="0"/>
  </connection>
  <connection id="2518" xr16:uid="{C52EC75E-6A15-4824-ADAB-CF1D4A245143}" keepAlive="1" name="連線897" type="5" refreshedVersion="0" background="1">
    <dbPr connection="Provider=Microsoft.Mashup.OleDb.1;Data Source=$Workbook$;Location=&quot;Table_2912_113_01&quot;;Extended Properties=&quot;&quot;" commandType="0"/>
  </connection>
  <connection id="2519" xr16:uid="{CE6B2CBB-33E7-4467-AAA0-511412AD09C4}" keepAlive="1" name="連線898" type="5" refreshedVersion="0" background="1">
    <dbPr connection="Provider=Microsoft.Mashup.OleDb.1;Data Source=$Workbook$;Location=&quot;Table_2002_113_03&quot;;Extended Properties=&quot;&quot;" commandType="0"/>
  </connection>
  <connection id="2520" xr16:uid="{00EF45EE-BE8B-4956-B585-5BF357EA11A7}" keepAlive="1" name="連線899" type="5" refreshedVersion="0" background="1">
    <dbPr connection="Provider=Microsoft.Mashup.OleDb.1;Data Source=$Workbook$;Location=&quot;Table_2002_113_02&quot;;Extended Properties=&quot;&quot;" commandType="0"/>
  </connection>
  <connection id="2521" xr16:uid="{056DF26D-EB45-4C14-B243-9345CA566343}" keepAlive="1" name="連線9" type="5" refreshedVersion="0" background="1">
    <dbPr connection="Provider=Microsoft.Mashup.OleDb.1;Data Source=$Workbook$;Location=&quot;Table 7&quot;;Extended Properties=&quot;&quot;" commandType="0"/>
  </connection>
  <connection id="2522" xr16:uid="{3F9A2216-D382-4673-87E5-2E17601CD1CC}" keepAlive="1" name="連線90" type="5" refreshedVersion="0" background="1">
    <dbPr connection="Provider=Microsoft.Mashup.OleDb.1;Data Source=$Workbook$;Location=&quot;Table_2002_113_01&quot;;Extended Properties=&quot;&quot;" commandType="0"/>
  </connection>
  <connection id="2523" xr16:uid="{196FAE82-C999-4E51-AA61-CFF80067E987}" keepAlive="1" name="連線900" type="5" refreshedVersion="0" background="1">
    <dbPr connection="Provider=Microsoft.Mashup.OleDb.1;Data Source=$Workbook$;Location=&quot;Table_2002_113_01&quot;;Extended Properties=&quot;&quot;" commandType="0"/>
  </connection>
  <connection id="2524" xr16:uid="{E2B1B9EC-9E05-4065-B4A7-F816F5F8F4CE}" keepAlive="1" name="連線901" type="5" refreshedVersion="0" background="1">
    <dbPr connection="Provider=Microsoft.Mashup.OleDb.1;Data Source=$Workbook$;Location=&quot;Table_2882_113_03&quot;;Extended Properties=&quot;&quot;" commandType="0"/>
  </connection>
  <connection id="2525" xr16:uid="{A50BC7D9-8F41-485D-B256-A90076C3A272}" keepAlive="1" name="連線902" type="5" refreshedVersion="0" background="1">
    <dbPr connection="Provider=Microsoft.Mashup.OleDb.1;Data Source=$Workbook$;Location=&quot;Table_2882_113_02&quot;;Extended Properties=&quot;&quot;" commandType="0"/>
  </connection>
  <connection id="2526" xr16:uid="{9249E749-767B-4365-846A-2C44FC88971F}" keepAlive="1" name="連線903" type="5" refreshedVersion="0" background="1">
    <dbPr connection="Provider=Microsoft.Mashup.OleDb.1;Data Source=$Workbook$;Location=&quot;Table_2882_113_01&quot;;Extended Properties=&quot;&quot;" commandType="0"/>
  </connection>
  <connection id="2527" xr16:uid="{6C9A64D2-B650-4932-8D78-C28411D348EA}" keepAlive="1" name="連線904" type="5" refreshedVersion="0" background="1">
    <dbPr connection="Provider=Microsoft.Mashup.OleDb.1;Data Source=$Workbook$;Location=&quot;Table_2330_113_03&quot;;Extended Properties=&quot;&quot;" commandType="0"/>
  </connection>
  <connection id="2528" xr16:uid="{88C75960-251D-41BD-9DCA-ACC625AE320A}" keepAlive="1" name="連線905" type="5" refreshedVersion="0" background="1">
    <dbPr connection="Provider=Microsoft.Mashup.OleDb.1;Data Source=$Workbook$;Location=&quot;Table_2330_113_02&quot;;Extended Properties=&quot;&quot;" commandType="0"/>
  </connection>
  <connection id="2529" xr16:uid="{4AA79105-0D1E-4DC8-958D-EEE869FE4297}" keepAlive="1" name="連線906" type="5" refreshedVersion="0" background="1">
    <dbPr connection="Provider=Microsoft.Mashup.OleDb.1;Data Source=$Workbook$;Location=&quot;Table_2330_113_01&quot;;Extended Properties=&quot;&quot;" commandType="0"/>
  </connection>
  <connection id="2530" xr16:uid="{98C54839-6E6A-425B-91DD-FE7C8D6110B8}" keepAlive="1" name="連線907" type="5" refreshedVersion="0" background="1">
    <dbPr connection="Provider=Microsoft.Mashup.OleDb.1;Data Source=$Workbook$;Location=&quot;Table_1101_113_03&quot;;Extended Properties=&quot;&quot;" commandType="0"/>
  </connection>
  <connection id="2531" xr16:uid="{6284C854-8B6A-461A-BB81-B209EB7361C0}" keepAlive="1" name="連線908" type="5" refreshedVersion="0" background="1">
    <dbPr connection="Provider=Microsoft.Mashup.OleDb.1;Data Source=$Workbook$;Location=&quot;Table_1101_113_02&quot;;Extended Properties=&quot;&quot;" commandType="0"/>
  </connection>
  <connection id="2532" xr16:uid="{30A180B5-0363-4F03-9C05-F3EEDF06A46F}" keepAlive="1" name="連線909" type="5" refreshedVersion="0" background="1">
    <dbPr connection="Provider=Microsoft.Mashup.OleDb.1;Data Source=$Workbook$;Location=&quot;Table_1101_113_01&quot;;Extended Properties=&quot;&quot;" commandType="0"/>
  </connection>
  <connection id="2533" xr16:uid="{64A46FE3-C7B1-420C-B05C-C1042D85DC79}" keepAlive="1" name="連線91" type="5" refreshedVersion="0" background="1">
    <dbPr connection="Provider=Microsoft.Mashup.OleDb.1;Data Source=$Workbook$;Location=&quot;Table_2002_113_02&quot;;Extended Properties=&quot;&quot;" commandType="0"/>
  </connection>
  <connection id="2534" xr16:uid="{41DA148F-95C6-4222-B9D8-28B186D87A59}" keepAlive="1" name="連線910" type="5" refreshedVersion="0" background="1">
    <dbPr connection="Provider=Microsoft.Mashup.OleDb.1;Data Source=$Workbook$;Location=&quot;Table_2912_113_03&quot;;Extended Properties=&quot;&quot;" commandType="0"/>
  </connection>
  <connection id="2535" xr16:uid="{7E2F10DC-A522-464F-8261-43D6EDF3BE32}" keepAlive="1" name="連線911" type="5" refreshedVersion="0" background="1">
    <dbPr connection="Provider=Microsoft.Mashup.OleDb.1;Data Source=$Workbook$;Location=&quot;Table_2912_113_02&quot;;Extended Properties=&quot;&quot;" commandType="0"/>
  </connection>
  <connection id="2536" xr16:uid="{057BFDE1-82A3-471E-AD21-3ECBCC2B40AB}" keepAlive="1" name="連線912" type="5" refreshedVersion="0" background="1">
    <dbPr connection="Provider=Microsoft.Mashup.OleDb.1;Data Source=$Workbook$;Location=&quot;Table_2912_113_01&quot;;Extended Properties=&quot;&quot;" commandType="0"/>
  </connection>
  <connection id="2537" xr16:uid="{03993B6C-EB29-48F1-BFDF-7988FB74C2A3}" keepAlive="1" name="連線913" type="5" refreshedVersion="0" background="1">
    <dbPr connection="Provider=Microsoft.Mashup.OleDb.1;Data Source=$Workbook$;Location=&quot;Table_2002_113_03&quot;;Extended Properties=&quot;&quot;" commandType="0"/>
  </connection>
  <connection id="2538" xr16:uid="{3AF8429C-52F6-4D75-8912-9FCF7E49E617}" keepAlive="1" name="連線914" type="5" refreshedVersion="0" background="1">
    <dbPr connection="Provider=Microsoft.Mashup.OleDb.1;Data Source=$Workbook$;Location=&quot;Table_2002_113_02&quot;;Extended Properties=&quot;&quot;" commandType="0"/>
  </connection>
  <connection id="2539" xr16:uid="{351E5270-A5C4-4F69-95CD-4D760673505D}" keepAlive="1" name="連線915" type="5" refreshedVersion="0" background="1">
    <dbPr connection="Provider=Microsoft.Mashup.OleDb.1;Data Source=$Workbook$;Location=&quot;Table_2002_113_01&quot;;Extended Properties=&quot;&quot;" commandType="0"/>
  </connection>
  <connection id="2540" xr16:uid="{A90082D4-FE26-475E-9CBF-235DB18EC74B}" keepAlive="1" name="連線916" type="5" refreshedVersion="0" background="1">
    <dbPr connection="Provider=Microsoft.Mashup.OleDb.1;Data Source=$Workbook$;Location=&quot;Table_2882_113_03&quot;;Extended Properties=&quot;&quot;" commandType="0"/>
  </connection>
  <connection id="2541" xr16:uid="{09E0F755-77D2-4221-A637-49A99A09C419}" keepAlive="1" name="連線917" type="5" refreshedVersion="0" background="1">
    <dbPr connection="Provider=Microsoft.Mashup.OleDb.1;Data Source=$Workbook$;Location=&quot;Table_2882_113_02&quot;;Extended Properties=&quot;&quot;" commandType="0"/>
  </connection>
  <connection id="2542" xr16:uid="{069B83EA-F14B-4A0B-98A7-A30CA08B0B04}" keepAlive="1" name="連線918" type="5" refreshedVersion="0" background="1">
    <dbPr connection="Provider=Microsoft.Mashup.OleDb.1;Data Source=$Workbook$;Location=&quot;Table_2882_113_01&quot;;Extended Properties=&quot;&quot;" commandType="0"/>
  </connection>
  <connection id="2543" xr16:uid="{F51B676F-B8E6-458C-B646-31D33D77D804}" keepAlive="1" name="連線919" type="5" refreshedVersion="0" background="1">
    <dbPr connection="Provider=Microsoft.Mashup.OleDb.1;Data Source=$Workbook$;Location=&quot;Table_2330_113_03&quot;;Extended Properties=&quot;&quot;" commandType="0"/>
  </connection>
  <connection id="2544" xr16:uid="{29D6430F-07ED-4A44-B9A5-397698A53C5B}" keepAlive="1" name="連線92" type="5" refreshedVersion="0" background="1">
    <dbPr connection="Provider=Microsoft.Mashup.OleDb.1;Data Source=$Workbook$;Location=&quot;Table_2002_113_03&quot;;Extended Properties=&quot;&quot;" commandType="0"/>
  </connection>
  <connection id="2545" xr16:uid="{596F2220-D9A7-425F-896C-8CA2A34D8AC4}" keepAlive="1" name="連線920" type="5" refreshedVersion="0" background="1">
    <dbPr connection="Provider=Microsoft.Mashup.OleDb.1;Data Source=$Workbook$;Location=&quot;Table_2330_113_02&quot;;Extended Properties=&quot;&quot;" commandType="0"/>
  </connection>
  <connection id="2546" xr16:uid="{AE0051CE-69AF-4FBB-A519-49C1B2F735DD}" keepAlive="1" name="連線921" type="5" refreshedVersion="0" background="1">
    <dbPr connection="Provider=Microsoft.Mashup.OleDb.1;Data Source=$Workbook$;Location=&quot;Table_2330_113_01&quot;;Extended Properties=&quot;&quot;" commandType="0"/>
  </connection>
  <connection id="2547" xr16:uid="{58FE359A-3038-4A7F-9B78-86343BA05A0E}" keepAlive="1" name="連線922" type="5" refreshedVersion="0" background="1">
    <dbPr connection="Provider=Microsoft.Mashup.OleDb.1;Data Source=$Workbook$;Location=&quot;Table_1101_113_03&quot;;Extended Properties=&quot;&quot;" commandType="0"/>
  </connection>
  <connection id="2548" xr16:uid="{1F38733A-4404-4681-AACC-D883B8BFBEFF}" keepAlive="1" name="連線923" type="5" refreshedVersion="0" background="1">
    <dbPr connection="Provider=Microsoft.Mashup.OleDb.1;Data Source=$Workbook$;Location=&quot;Table_1101_113_02&quot;;Extended Properties=&quot;&quot;" commandType="0"/>
  </connection>
  <connection id="2549" xr16:uid="{DE05B789-D69C-4EFC-A950-CA0AB55F5257}" keepAlive="1" name="連線924" type="5" refreshedVersion="0" background="1">
    <dbPr connection="Provider=Microsoft.Mashup.OleDb.1;Data Source=$Workbook$;Location=&quot;Table_1101_113_01&quot;;Extended Properties=&quot;&quot;" commandType="0"/>
  </connection>
  <connection id="2550" xr16:uid="{5D0E01D2-744D-4FCC-AE93-E5519654B30F}" keepAlive="1" name="連線925" type="5" refreshedVersion="0" background="1">
    <dbPr connection="Provider=Microsoft.Mashup.OleDb.1;Data Source=$Workbook$;Location=&quot;Table_2912_113_03&quot;;Extended Properties=&quot;&quot;" commandType="0"/>
  </connection>
  <connection id="2551" xr16:uid="{A3105C14-D071-4F91-90BF-4504EC9E42AF}" keepAlive="1" name="連線926" type="5" refreshedVersion="0" background="1">
    <dbPr connection="Provider=Microsoft.Mashup.OleDb.1;Data Source=$Workbook$;Location=&quot;Table_2912_113_02&quot;;Extended Properties=&quot;&quot;" commandType="0"/>
  </connection>
  <connection id="2552" xr16:uid="{EE219C09-2113-4D95-98A5-82CB8D898FFB}" keepAlive="1" name="連線927" type="5" refreshedVersion="0" background="1">
    <dbPr connection="Provider=Microsoft.Mashup.OleDb.1;Data Source=$Workbook$;Location=&quot;Table_2912_113_01&quot;;Extended Properties=&quot;&quot;" commandType="0"/>
  </connection>
  <connection id="2553" xr16:uid="{3241D6E4-94F3-4D8E-AFBB-F38DB869C502}" keepAlive="1" name="連線928" type="5" refreshedVersion="0" background="1">
    <dbPr connection="Provider=Microsoft.Mashup.OleDb.1;Data Source=$Workbook$;Location=&quot;Table_2002_113_03&quot;;Extended Properties=&quot;&quot;" commandType="0"/>
  </connection>
  <connection id="2554" xr16:uid="{1CBFB54D-4A9A-47DA-87C2-2B0873CF6304}" keepAlive="1" name="連線929" type="5" refreshedVersion="0" background="1">
    <dbPr connection="Provider=Microsoft.Mashup.OleDb.1;Data Source=$Workbook$;Location=&quot;Table_2002_113_02&quot;;Extended Properties=&quot;&quot;" commandType="0"/>
  </connection>
  <connection id="2555" xr16:uid="{66F2E75B-EB86-4E21-8EEA-AACA6252B3F0}" keepAlive="1" name="連線93" type="5" refreshedVersion="0" background="1">
    <dbPr connection="Provider=Microsoft.Mashup.OleDb.1;Data Source=$Workbook$;Location=&quot;Table_投資組合比重__&quot;;Extended Properties=&quot;&quot;" commandType="0"/>
  </connection>
  <connection id="2556" xr16:uid="{1D96ECB0-B56C-427C-B685-767AA14FC89E}" keepAlive="1" name="連線930" type="5" refreshedVersion="0" background="1">
    <dbPr connection="Provider=Microsoft.Mashup.OleDb.1;Data Source=$Workbook$;Location=&quot;Table_2002_113_01&quot;;Extended Properties=&quot;&quot;" commandType="0"/>
  </connection>
  <connection id="2557" xr16:uid="{D9694F4A-2E90-46A7-80A2-822BA7D9AACA}" keepAlive="1" name="連線931" type="5" refreshedVersion="0" background="1">
    <dbPr connection="Provider=Microsoft.Mashup.OleDb.1;Data Source=$Workbook$;Location=&quot;Table_2882_113_03&quot;;Extended Properties=&quot;&quot;" commandType="0"/>
  </connection>
  <connection id="2558" xr16:uid="{22655F52-8CF4-4399-9A84-6F074F740B9E}" keepAlive="1" name="連線932" type="5" refreshedVersion="0" background="1">
    <dbPr connection="Provider=Microsoft.Mashup.OleDb.1;Data Source=$Workbook$;Location=&quot;Table_2882_113_02&quot;;Extended Properties=&quot;&quot;" commandType="0"/>
  </connection>
  <connection id="2559" xr16:uid="{D6EFD6CD-3E8F-45B4-943E-12B2F5A81A5D}" keepAlive="1" name="連線933" type="5" refreshedVersion="0" background="1">
    <dbPr connection="Provider=Microsoft.Mashup.OleDb.1;Data Source=$Workbook$;Location=&quot;Table_2882_113_01&quot;;Extended Properties=&quot;&quot;" commandType="0"/>
  </connection>
  <connection id="2560" xr16:uid="{CE733C61-337E-4102-A026-2B03B43E9ABC}" keepAlive="1" name="連線934" type="5" refreshedVersion="0" background="1">
    <dbPr connection="Provider=Microsoft.Mashup.OleDb.1;Data Source=$Workbook$;Location=&quot;Table_2330_113_03&quot;;Extended Properties=&quot;&quot;" commandType="0"/>
  </connection>
  <connection id="2561" xr16:uid="{6D999595-4EFA-4CB3-9AD6-7C9D35219DA3}" keepAlive="1" name="連線935" type="5" refreshedVersion="0" background="1">
    <dbPr connection="Provider=Microsoft.Mashup.OleDb.1;Data Source=$Workbook$;Location=&quot;Table_2330_113_02&quot;;Extended Properties=&quot;&quot;" commandType="0"/>
  </connection>
  <connection id="2562" xr16:uid="{59C45CDD-E8E2-40AB-A1E7-E97EE1DA61B5}" keepAlive="1" name="連線936" type="5" refreshedVersion="0" background="1">
    <dbPr connection="Provider=Microsoft.Mashup.OleDb.1;Data Source=$Workbook$;Location=&quot;Table_2330_113_01&quot;;Extended Properties=&quot;&quot;" commandType="0"/>
  </connection>
  <connection id="2563" xr16:uid="{12779CFB-20DE-4034-8C7B-8736B3F4E44B}" keepAlive="1" name="連線937" type="5" refreshedVersion="0" background="1">
    <dbPr connection="Provider=Microsoft.Mashup.OleDb.1;Data Source=$Workbook$;Location=&quot;Table_1101_113_03&quot;;Extended Properties=&quot;&quot;" commandType="0"/>
  </connection>
  <connection id="2564" xr16:uid="{BD578E0A-E562-4130-A705-5F18A182895F}" keepAlive="1" name="連線938" type="5" refreshedVersion="0" background="1">
    <dbPr connection="Provider=Microsoft.Mashup.OleDb.1;Data Source=$Workbook$;Location=&quot;Table_1101_113_02&quot;;Extended Properties=&quot;&quot;" commandType="0"/>
  </connection>
  <connection id="2565" xr16:uid="{1FC70E63-7580-428D-8E4A-D3B4B4F0D769}" keepAlive="1" name="連線939" type="5" refreshedVersion="0" background="1">
    <dbPr connection="Provider=Microsoft.Mashup.OleDb.1;Data Source=$Workbook$;Location=&quot;Table_1101_113_01&quot;;Extended Properties=&quot;&quot;" commandType="0"/>
  </connection>
  <connection id="2566" xr16:uid="{9653B969-E44A-4F43-9A9A-252CC83FB6A9}" keepAlive="1" name="連線94" type="5" refreshedVersion="0" background="1">
    <dbPr connection="Provider=Microsoft.Mashup.OleDb.1;Data Source=$Workbook$;Location=&quot;Table_2330_113_01&quot;;Extended Properties=&quot;&quot;" commandType="0"/>
  </connection>
  <connection id="2567" xr16:uid="{71C0A08B-E028-4B23-BA1A-8EFBBE0D7E07}" keepAlive="1" name="連線940" type="5" refreshedVersion="0" background="1">
    <dbPr connection="Provider=Microsoft.Mashup.OleDb.1;Data Source=$Workbook$;Location=&quot;Table_2912_113_03&quot;;Extended Properties=&quot;&quot;" commandType="0"/>
  </connection>
  <connection id="2568" xr16:uid="{BE75CFE8-6906-4E1D-9584-38E9D29EF84A}" keepAlive="1" name="連線941" type="5" refreshedVersion="0" background="1">
    <dbPr connection="Provider=Microsoft.Mashup.OleDb.1;Data Source=$Workbook$;Location=&quot;Table_2912_113_02&quot;;Extended Properties=&quot;&quot;" commandType="0"/>
  </connection>
  <connection id="2569" xr16:uid="{9FA12677-168D-4E35-8F49-F04B0670DED6}" keepAlive="1" name="連線942" type="5" refreshedVersion="0" background="1">
    <dbPr connection="Provider=Microsoft.Mashup.OleDb.1;Data Source=$Workbook$;Location=&quot;Table_2912_113_01&quot;;Extended Properties=&quot;&quot;" commandType="0"/>
  </connection>
  <connection id="2570" xr16:uid="{92CF4A76-9CA3-4294-B29D-6C97391ED0FA}" keepAlive="1" name="連線943" type="5" refreshedVersion="0" background="1">
    <dbPr connection="Provider=Microsoft.Mashup.OleDb.1;Data Source=$Workbook$;Location=&quot;Table_2002_113_03&quot;;Extended Properties=&quot;&quot;" commandType="0"/>
  </connection>
  <connection id="2571" xr16:uid="{32708B90-1B96-4F5A-B3E9-80BDC71F90CB}" keepAlive="1" name="連線944" type="5" refreshedVersion="0" background="1">
    <dbPr connection="Provider=Microsoft.Mashup.OleDb.1;Data Source=$Workbook$;Location=&quot;Table_2002_113_02&quot;;Extended Properties=&quot;&quot;" commandType="0"/>
  </connection>
  <connection id="2572" xr16:uid="{3D5437CD-0670-4249-8660-50C0F3AE7586}" keepAlive="1" name="連線945" type="5" refreshedVersion="0" background="1">
    <dbPr connection="Provider=Microsoft.Mashup.OleDb.1;Data Source=$Workbook$;Location=&quot;Table_2002_113_01&quot;;Extended Properties=&quot;&quot;" commandType="0"/>
  </connection>
  <connection id="2573" xr16:uid="{A1F8F837-1A8A-44DA-A45C-9835A46E61C3}" keepAlive="1" name="連線946" type="5" refreshedVersion="0" background="1">
    <dbPr connection="Provider=Microsoft.Mashup.OleDb.1;Data Source=$Workbook$;Location=&quot;Table_2882_113_03&quot;;Extended Properties=&quot;&quot;" commandType="0"/>
  </connection>
  <connection id="2574" xr16:uid="{616ADBBA-DC61-46BA-937A-55116725DC10}" keepAlive="1" name="連線947" type="5" refreshedVersion="0" background="1">
    <dbPr connection="Provider=Microsoft.Mashup.OleDb.1;Data Source=$Workbook$;Location=&quot;Table_2882_113_02&quot;;Extended Properties=&quot;&quot;" commandType="0"/>
  </connection>
  <connection id="2575" xr16:uid="{053E75CF-63AD-4201-86D7-9FE255E185CB}" keepAlive="1" name="連線948" type="5" refreshedVersion="0" background="1">
    <dbPr connection="Provider=Microsoft.Mashup.OleDb.1;Data Source=$Workbook$;Location=&quot;Table_2882_113_01&quot;;Extended Properties=&quot;&quot;" commandType="0"/>
  </connection>
  <connection id="2576" xr16:uid="{36B66457-5FE5-43E3-BFDD-1B63CED3682C}" keepAlive="1" name="連線949" type="5" refreshedVersion="0" background="1">
    <dbPr connection="Provider=Microsoft.Mashup.OleDb.1;Data Source=$Workbook$;Location=&quot;Table_2330_113_03&quot;;Extended Properties=&quot;&quot;" commandType="0"/>
  </connection>
  <connection id="2577" xr16:uid="{1578529F-7F24-4D16-8A04-B80627ED1B2F}" keepAlive="1" name="連線95" type="5" refreshedVersion="0" background="1">
    <dbPr connection="Provider=Microsoft.Mashup.OleDb.1;Data Source=$Workbook$;Location=&quot;Table_2330_113_02&quot;;Extended Properties=&quot;&quot;" commandType="0"/>
  </connection>
  <connection id="2578" xr16:uid="{7525FAD0-3E2F-47E1-9292-87C6C75402ED}" keepAlive="1" name="連線950" type="5" refreshedVersion="0" background="1">
    <dbPr connection="Provider=Microsoft.Mashup.OleDb.1;Data Source=$Workbook$;Location=&quot;Table_2330_113_02&quot;;Extended Properties=&quot;&quot;" commandType="0"/>
  </connection>
  <connection id="2579" xr16:uid="{C708978B-76D6-4747-B282-CAE4D7C06ECE}" keepAlive="1" name="連線951" type="5" refreshedVersion="0" background="1">
    <dbPr connection="Provider=Microsoft.Mashup.OleDb.1;Data Source=$Workbook$;Location=&quot;Table_2330_113_01&quot;;Extended Properties=&quot;&quot;" commandType="0"/>
  </connection>
  <connection id="2580" xr16:uid="{F67B52EE-F06E-4871-960C-7021AAC274DC}" keepAlive="1" name="連線952" type="5" refreshedVersion="0" background="1">
    <dbPr connection="Provider=Microsoft.Mashup.OleDb.1;Data Source=$Workbook$;Location=&quot;Table_1101_113_03&quot;;Extended Properties=&quot;&quot;" commandType="0"/>
  </connection>
  <connection id="2581" xr16:uid="{C2780056-B21C-4C5C-8403-CFE7BB7A7D3B}" keepAlive="1" name="連線953" type="5" refreshedVersion="0" background="1">
    <dbPr connection="Provider=Microsoft.Mashup.OleDb.1;Data Source=$Workbook$;Location=&quot;Table_1101_113_02&quot;;Extended Properties=&quot;&quot;" commandType="0"/>
  </connection>
  <connection id="2582" xr16:uid="{D839059A-AE00-4754-92BE-386DF689BAF6}" keepAlive="1" name="連線954" type="5" refreshedVersion="0" background="1">
    <dbPr connection="Provider=Microsoft.Mashup.OleDb.1;Data Source=$Workbook$;Location=&quot;Table_1101_113_01&quot;;Extended Properties=&quot;&quot;" commandType="0"/>
  </connection>
  <connection id="2583" xr16:uid="{3ECE372D-5E89-49CE-88B3-DDE821393E14}" keepAlive="1" name="連線955" type="5" refreshedVersion="0" background="1">
    <dbPr connection="Provider=Microsoft.Mashup.OleDb.1;Data Source=$Workbook$;Location=&quot;Table_2912_113_03&quot;;Extended Properties=&quot;&quot;" commandType="0"/>
  </connection>
  <connection id="2584" xr16:uid="{9E248B8A-C114-47CE-A042-0F190917147F}" keepAlive="1" name="連線956" type="5" refreshedVersion="0" background="1">
    <dbPr connection="Provider=Microsoft.Mashup.OleDb.1;Data Source=$Workbook$;Location=&quot;Table_2912_113_02&quot;;Extended Properties=&quot;&quot;" commandType="0"/>
  </connection>
  <connection id="2585" xr16:uid="{F3D06E1B-2E28-4A6E-889E-C608544D7AE3}" keepAlive="1" name="連線957" type="5" refreshedVersion="0" background="1">
    <dbPr connection="Provider=Microsoft.Mashup.OleDb.1;Data Source=$Workbook$;Location=&quot;Table_2912_113_01&quot;;Extended Properties=&quot;&quot;" commandType="0"/>
  </connection>
  <connection id="2586" xr16:uid="{57A3BE9A-13B1-4886-8E33-F3B0A6722E51}" keepAlive="1" name="連線958" type="5" refreshedVersion="0" background="1">
    <dbPr connection="Provider=Microsoft.Mashup.OleDb.1;Data Source=$Workbook$;Location=&quot;Table_2002_113_03&quot;;Extended Properties=&quot;&quot;" commandType="0"/>
  </connection>
  <connection id="2587" xr16:uid="{6C124533-ECE1-4812-8DC8-CC25646C395F}" keepAlive="1" name="連線959" type="5" refreshedVersion="0" background="1">
    <dbPr connection="Provider=Microsoft.Mashup.OleDb.1;Data Source=$Workbook$;Location=&quot;Table_2002_113_02&quot;;Extended Properties=&quot;&quot;" commandType="0"/>
  </connection>
  <connection id="2588" xr16:uid="{5A6C9FA2-A527-4C41-A641-F65E2504CAE7}" keepAlive="1" name="連線96" type="5" refreshedVersion="0" background="1">
    <dbPr connection="Provider=Microsoft.Mashup.OleDb.1;Data Source=$Workbook$;Location=&quot;Table_2330_113_03&quot;;Extended Properties=&quot;&quot;" commandType="0"/>
  </connection>
  <connection id="2589" xr16:uid="{E160721A-965C-4A57-9E77-A3F83E4A3BA9}" keepAlive="1" name="連線960" type="5" refreshedVersion="0" background="1">
    <dbPr connection="Provider=Microsoft.Mashup.OleDb.1;Data Source=$Workbook$;Location=&quot;Table_2002_113_01&quot;;Extended Properties=&quot;&quot;" commandType="0"/>
  </connection>
  <connection id="2590" xr16:uid="{FCAD1901-E66E-4D0B-960A-30AED96308B4}" keepAlive="1" name="連線961" type="5" refreshedVersion="0" background="1">
    <dbPr connection="Provider=Microsoft.Mashup.OleDb.1;Data Source=$Workbook$;Location=&quot;Table_2882_113_03&quot;;Extended Properties=&quot;&quot;" commandType="0"/>
  </connection>
  <connection id="2591" xr16:uid="{FF4FE3B9-8AE4-4F2B-AD1C-8FEE47A8EB80}" keepAlive="1" name="連線962" type="5" refreshedVersion="0" background="1">
    <dbPr connection="Provider=Microsoft.Mashup.OleDb.1;Data Source=$Workbook$;Location=&quot;Table_2882_113_02&quot;;Extended Properties=&quot;&quot;" commandType="0"/>
  </connection>
  <connection id="2592" xr16:uid="{0F2B4E11-AF37-4F8A-B89F-C546B849C8E0}" keepAlive="1" name="連線963" type="5" refreshedVersion="0" background="1">
    <dbPr connection="Provider=Microsoft.Mashup.OleDb.1;Data Source=$Workbook$;Location=&quot;Table_2882_113_01&quot;;Extended Properties=&quot;&quot;" commandType="0"/>
  </connection>
  <connection id="2593" xr16:uid="{516AA7ED-7728-4465-B6E0-E24FB85F3CE8}" keepAlive="1" name="連線964" type="5" refreshedVersion="0" background="1">
    <dbPr connection="Provider=Microsoft.Mashup.OleDb.1;Data Source=$Workbook$;Location=&quot;Table_2330_113_03&quot;;Extended Properties=&quot;&quot;" commandType="0"/>
  </connection>
  <connection id="2594" xr16:uid="{3EE7ADD9-71EF-466D-AA38-39B9C11EE118}" keepAlive="1" name="連線965" type="5" refreshedVersion="0" background="1">
    <dbPr connection="Provider=Microsoft.Mashup.OleDb.1;Data Source=$Workbook$;Location=&quot;Table_2330_113_02&quot;;Extended Properties=&quot;&quot;" commandType="0"/>
  </connection>
  <connection id="2595" xr16:uid="{ED53262E-5133-4561-AE1E-EE95CB3A3233}" keepAlive="1" name="連線966" type="5" refreshedVersion="0" background="1">
    <dbPr connection="Provider=Microsoft.Mashup.OleDb.1;Data Source=$Workbook$;Location=&quot;Table_2330_113_01&quot;;Extended Properties=&quot;&quot;" commandType="0"/>
  </connection>
  <connection id="2596" xr16:uid="{A60F77CF-9888-481B-A31D-7E221B1D6BE6}" keepAlive="1" name="連線967" type="5" refreshedVersion="0" background="1">
    <dbPr connection="Provider=Microsoft.Mashup.OleDb.1;Data Source=$Workbook$;Location=&quot;Table_1101_113_03&quot;;Extended Properties=&quot;&quot;" commandType="0"/>
  </connection>
  <connection id="2597" xr16:uid="{77AD5C8A-2B2C-4CC4-B820-F211D2662E3D}" keepAlive="1" name="連線968" type="5" refreshedVersion="0" background="1">
    <dbPr connection="Provider=Microsoft.Mashup.OleDb.1;Data Source=$Workbook$;Location=&quot;Table_1101_113_02&quot;;Extended Properties=&quot;&quot;" commandType="0"/>
  </connection>
  <connection id="2598" xr16:uid="{2B2430C1-735F-466A-A11D-EBA6B33BA10F}" keepAlive="1" name="連線969" type="5" refreshedVersion="0" background="1">
    <dbPr connection="Provider=Microsoft.Mashup.OleDb.1;Data Source=$Workbook$;Location=&quot;Table_1101_113_01&quot;;Extended Properties=&quot;&quot;" commandType="0"/>
  </connection>
  <connection id="2599" xr16:uid="{3566CA6B-1496-42F9-B8FD-0BAF25675D1B}" keepAlive="1" name="連線97" type="5" refreshedVersion="0" background="1">
    <dbPr connection="Provider=Microsoft.Mashup.OleDb.1;Data Source=$Workbook$;Location=&quot;Table_2002_113_01&quot;;Extended Properties=&quot;&quot;" commandType="0"/>
  </connection>
  <connection id="2600" xr16:uid="{5F4E53FA-0506-4A83-8FCF-78B337E5A383}" keepAlive="1" name="連線970" type="5" refreshedVersion="0" background="1">
    <dbPr connection="Provider=Microsoft.Mashup.OleDb.1;Data Source=$Workbook$;Location=&quot;Table_2912_113_03&quot;;Extended Properties=&quot;&quot;" commandType="0"/>
  </connection>
  <connection id="2601" xr16:uid="{B204081C-F1E7-4F9C-9936-71BA8916F5B6}" keepAlive="1" name="連線971" type="5" refreshedVersion="0" background="1">
    <dbPr connection="Provider=Microsoft.Mashup.OleDb.1;Data Source=$Workbook$;Location=&quot;Table_2912_113_02&quot;;Extended Properties=&quot;&quot;" commandType="0"/>
  </connection>
  <connection id="2602" xr16:uid="{120D4D5B-5B96-458B-8667-DF4CF6AADE93}" keepAlive="1" name="連線972" type="5" refreshedVersion="0" background="1">
    <dbPr connection="Provider=Microsoft.Mashup.OleDb.1;Data Source=$Workbook$;Location=&quot;Table_2912_113_01&quot;;Extended Properties=&quot;&quot;" commandType="0"/>
  </connection>
  <connection id="2603" xr16:uid="{6792BB4E-F1CB-4B79-B448-9425317E7BBC}" keepAlive="1" name="連線973" type="5" refreshedVersion="0" background="1">
    <dbPr connection="Provider=Microsoft.Mashup.OleDb.1;Data Source=$Workbook$;Location=&quot;Table_2002_113_03&quot;;Extended Properties=&quot;&quot;" commandType="0"/>
  </connection>
  <connection id="2604" xr16:uid="{1DE726A0-58DB-4EC9-9399-43B80CB80524}" keepAlive="1" name="連線974" type="5" refreshedVersion="0" background="1">
    <dbPr connection="Provider=Microsoft.Mashup.OleDb.1;Data Source=$Workbook$;Location=&quot;Table_2002_113_02&quot;;Extended Properties=&quot;&quot;" commandType="0"/>
  </connection>
  <connection id="2605" xr16:uid="{6BB2F5F6-2105-4FE7-BB52-C4089BD0159C}" keepAlive="1" name="連線975" type="5" refreshedVersion="0" background="1">
    <dbPr connection="Provider=Microsoft.Mashup.OleDb.1;Data Source=$Workbook$;Location=&quot;Table_2002_113_01&quot;;Extended Properties=&quot;&quot;" commandType="0"/>
  </connection>
  <connection id="2606" xr16:uid="{503D9D03-43F2-4EFF-B014-D4899B9D20C9}" keepAlive="1" name="連線976" type="5" refreshedVersion="0" background="1">
    <dbPr connection="Provider=Microsoft.Mashup.OleDb.1;Data Source=$Workbook$;Location=&quot;Table_2882_113_03&quot;;Extended Properties=&quot;&quot;" commandType="0"/>
  </connection>
  <connection id="2607" xr16:uid="{D2AE8DB4-2BD3-439F-A670-27F60EE13CD7}" keepAlive="1" name="連線977" type="5" refreshedVersion="0" background="1">
    <dbPr connection="Provider=Microsoft.Mashup.OleDb.1;Data Source=$Workbook$;Location=&quot;Table_2882_113_02&quot;;Extended Properties=&quot;&quot;" commandType="0"/>
  </connection>
  <connection id="2608" xr16:uid="{006614FA-64E1-4149-938E-A5F21C1C722C}" keepAlive="1" name="連線978" type="5" refreshedVersion="0" background="1">
    <dbPr connection="Provider=Microsoft.Mashup.OleDb.1;Data Source=$Workbook$;Location=&quot;Table_2882_113_01&quot;;Extended Properties=&quot;&quot;" commandType="0"/>
  </connection>
  <connection id="2609" xr16:uid="{BA30CABC-684E-4C42-9633-31FA71E3ABA6}" keepAlive="1" name="連線979" type="5" refreshedVersion="0" background="1">
    <dbPr connection="Provider=Microsoft.Mashup.OleDb.1;Data Source=$Workbook$;Location=&quot;Table_2330_113_03&quot;;Extended Properties=&quot;&quot;" commandType="0"/>
  </connection>
  <connection id="2610" xr16:uid="{4A0D355A-BA67-4308-857C-6C91CF1248A8}" keepAlive="1" name="連線98" type="5" refreshedVersion="0" background="1">
    <dbPr connection="Provider=Microsoft.Mashup.OleDb.1;Data Source=$Workbook$;Location=&quot;Table_2002_113_02&quot;;Extended Properties=&quot;&quot;" commandType="0"/>
  </connection>
  <connection id="2611" xr16:uid="{8E72FACB-8D88-4F11-9AB9-63DE6947E7DA}" keepAlive="1" name="連線980" type="5" refreshedVersion="0" background="1">
    <dbPr connection="Provider=Microsoft.Mashup.OleDb.1;Data Source=$Workbook$;Location=&quot;Table_2330_113_02&quot;;Extended Properties=&quot;&quot;" commandType="0"/>
  </connection>
  <connection id="2612" xr16:uid="{196578F5-8F23-4DB8-9D63-A7EBE8247860}" keepAlive="1" name="連線981" type="5" refreshedVersion="0" background="1">
    <dbPr connection="Provider=Microsoft.Mashup.OleDb.1;Data Source=$Workbook$;Location=&quot;Table_2330_113_01&quot;;Extended Properties=&quot;&quot;" commandType="0"/>
  </connection>
  <connection id="2613" xr16:uid="{8DAAA909-8739-499C-8681-FB5940C7472B}" keepAlive="1" name="連線982" type="5" refreshedVersion="0" background="1">
    <dbPr connection="Provider=Microsoft.Mashup.OleDb.1;Data Source=$Workbook$;Location=&quot;Table_1101_113_03&quot;;Extended Properties=&quot;&quot;" commandType="0"/>
  </connection>
  <connection id="2614" xr16:uid="{E00E7C74-0B5B-4143-8DBD-62C5E0734BB3}" keepAlive="1" name="連線983" type="5" refreshedVersion="0" background="1">
    <dbPr connection="Provider=Microsoft.Mashup.OleDb.1;Data Source=$Workbook$;Location=&quot;Table_1101_113_02&quot;;Extended Properties=&quot;&quot;" commandType="0"/>
  </connection>
  <connection id="2615" xr16:uid="{DF9E171F-27AC-4B2A-8D11-BE7FC74EADA9}" keepAlive="1" name="連線984" type="5" refreshedVersion="0" background="1">
    <dbPr connection="Provider=Microsoft.Mashup.OleDb.1;Data Source=$Workbook$;Location=&quot;Table_1101_113_01&quot;;Extended Properties=&quot;&quot;" commandType="0"/>
  </connection>
  <connection id="2616" xr16:uid="{757FED28-25B4-4187-AF89-217673263953}" keepAlive="1" name="連線985" type="5" refreshedVersion="0" background="1">
    <dbPr connection="Provider=Microsoft.Mashup.OleDb.1;Data Source=$Workbook$;Location=&quot;Table_2912_113_03&quot;;Extended Properties=&quot;&quot;" commandType="0"/>
  </connection>
  <connection id="2617" xr16:uid="{13AD7750-BEB9-4638-B635-FE987660A9A5}" keepAlive="1" name="連線986" type="5" refreshedVersion="0" background="1">
    <dbPr connection="Provider=Microsoft.Mashup.OleDb.1;Data Source=$Workbook$;Location=&quot;Table_2912_113_02&quot;;Extended Properties=&quot;&quot;" commandType="0"/>
  </connection>
  <connection id="2618" xr16:uid="{9378F495-F549-4BE4-993F-5DD98B144B10}" keepAlive="1" name="連線987" type="5" refreshedVersion="0" background="1">
    <dbPr connection="Provider=Microsoft.Mashup.OleDb.1;Data Source=$Workbook$;Location=&quot;Table_2912_113_01&quot;;Extended Properties=&quot;&quot;" commandType="0"/>
  </connection>
  <connection id="2619" xr16:uid="{1D53D91C-866B-4583-8C4B-127A56CF528D}" keepAlive="1" name="連線988" type="5" refreshedVersion="0" background="1">
    <dbPr connection="Provider=Microsoft.Mashup.OleDb.1;Data Source=$Workbook$;Location=&quot;Table_2002_113_03&quot;;Extended Properties=&quot;&quot;" commandType="0"/>
  </connection>
  <connection id="2620" xr16:uid="{FC7D677B-5987-42AE-AD18-751DBB40AE39}" keepAlive="1" name="連線989" type="5" refreshedVersion="0" background="1">
    <dbPr connection="Provider=Microsoft.Mashup.OleDb.1;Data Source=$Workbook$;Location=&quot;Table_2002_113_02&quot;;Extended Properties=&quot;&quot;" commandType="0"/>
  </connection>
  <connection id="2621" xr16:uid="{9B6EF6E4-D5DC-40EA-81DE-C20EEA298141}" keepAlive="1" name="連線99" type="5" refreshedVersion="0" background="1">
    <dbPr connection="Provider=Microsoft.Mashup.OleDb.1;Data Source=$Workbook$;Location=&quot;Table_2002_113_03&quot;;Extended Properties=&quot;&quot;" commandType="0"/>
  </connection>
  <connection id="2622" xr16:uid="{C54BAEFD-A281-4978-AA14-2AC3157FBDDD}" keepAlive="1" name="連線990" type="5" refreshedVersion="0" background="1">
    <dbPr connection="Provider=Microsoft.Mashup.OleDb.1;Data Source=$Workbook$;Location=&quot;Table_2002_113_01&quot;;Extended Properties=&quot;&quot;" commandType="0"/>
  </connection>
  <connection id="2623" xr16:uid="{40DB2C64-472D-4F49-A95D-6DF1C0D1BAF2}" keepAlive="1" name="連線991" type="5" refreshedVersion="0" background="1">
    <dbPr connection="Provider=Microsoft.Mashup.OleDb.1;Data Source=$Workbook$;Location=&quot;Table_2882_113_03&quot;;Extended Properties=&quot;&quot;" commandType="0"/>
  </connection>
  <connection id="2624" xr16:uid="{80BF8DB9-ADCE-4E45-859E-E8D17CFC8C3D}" keepAlive="1" name="連線992" type="5" refreshedVersion="0" background="1">
    <dbPr connection="Provider=Microsoft.Mashup.OleDb.1;Data Source=$Workbook$;Location=&quot;Table_2882_113_02&quot;;Extended Properties=&quot;&quot;" commandType="0"/>
  </connection>
  <connection id="2625" xr16:uid="{D0D0BF91-1B2C-42E8-B69A-ADC8F7EC7F92}" keepAlive="1" name="連線993" type="5" refreshedVersion="0" background="1">
    <dbPr connection="Provider=Microsoft.Mashup.OleDb.1;Data Source=$Workbook$;Location=&quot;Table_2882_113_01&quot;;Extended Properties=&quot;&quot;" commandType="0"/>
  </connection>
  <connection id="2626" xr16:uid="{1E20549F-7D13-46A4-B8F0-61D80B43ABBF}" keepAlive="1" name="連線994" type="5" refreshedVersion="0" background="1">
    <dbPr connection="Provider=Microsoft.Mashup.OleDb.1;Data Source=$Workbook$;Location=&quot;Table_2330_113_03&quot;;Extended Properties=&quot;&quot;" commandType="0"/>
  </connection>
  <connection id="2627" xr16:uid="{8FB4C737-8EA8-4AA2-8898-A7CFC58DD1AA}" keepAlive="1" name="連線995" type="5" refreshedVersion="0" background="1">
    <dbPr connection="Provider=Microsoft.Mashup.OleDb.1;Data Source=$Workbook$;Location=&quot;Table_2330_113_02&quot;;Extended Properties=&quot;&quot;" commandType="0"/>
  </connection>
  <connection id="2628" xr16:uid="{110C46DA-EE4F-41B0-BA2C-9AEF8D05538A}" keepAlive="1" name="連線996" type="5" refreshedVersion="0" background="1">
    <dbPr connection="Provider=Microsoft.Mashup.OleDb.1;Data Source=$Workbook$;Location=&quot;Table_2330_113_01&quot;;Extended Properties=&quot;&quot;" commandType="0"/>
  </connection>
  <connection id="2629" xr16:uid="{7C3EFA98-A00B-4C57-8300-C0CCF39E3CBC}" keepAlive="1" name="連線997" type="5" refreshedVersion="0" background="1">
    <dbPr connection="Provider=Microsoft.Mashup.OleDb.1;Data Source=$Workbook$;Location=&quot;Table_1101_113_03&quot;;Extended Properties=&quot;&quot;" commandType="0"/>
  </connection>
  <connection id="2630" xr16:uid="{388F5CA5-D750-4975-94C5-835A05738403}" keepAlive="1" name="連線998" type="5" refreshedVersion="0" background="1">
    <dbPr connection="Provider=Microsoft.Mashup.OleDb.1;Data Source=$Workbook$;Location=&quot;Table_1101_113_02&quot;;Extended Properties=&quot;&quot;" commandType="0"/>
  </connection>
  <connection id="2631" xr16:uid="{8D68A429-0300-453D-8133-865DF7EB6C13}" keepAlive="1" name="連線999" type="5" refreshedVersion="0" background="1">
    <dbPr connection="Provider=Microsoft.Mashup.OleDb.1;Data Source=$Workbook$;Location=&quot;Table_1101_113_01&quot;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<sst xmlns="http://schemas.openxmlformats.org/spreadsheetml/2006/main" count="528" uniqueCount="147">
  <si>
    <t>股票代碼</t>
    <phoneticPr fontId="1" type="noConversion"/>
  </si>
  <si>
    <t>年份(民國)</t>
    <phoneticPr fontId="1" type="noConversion"/>
  </si>
  <si>
    <r>
      <t>月份</t>
    </r>
    <r>
      <rPr>
        <sz val="12"/>
        <color theme="1"/>
        <rFont val="新細明體"/>
        <family val="1"/>
        <charset val="136"/>
      </rPr>
      <t>Ⅰ</t>
    </r>
    <phoneticPr fontId="1" type="noConversion"/>
  </si>
  <si>
    <r>
      <t>月份</t>
    </r>
    <r>
      <rPr>
        <sz val="12"/>
        <color theme="1"/>
        <rFont val="新細明體"/>
        <family val="1"/>
        <charset val="136"/>
      </rPr>
      <t>Ⅱ</t>
    </r>
    <phoneticPr fontId="1" type="noConversion"/>
  </si>
  <si>
    <r>
      <t>月份</t>
    </r>
    <r>
      <rPr>
        <sz val="12"/>
        <color theme="1"/>
        <rFont val="新細明體"/>
        <family val="1"/>
        <charset val="136"/>
      </rPr>
      <t>Ⅲ</t>
    </r>
    <phoneticPr fontId="1" type="noConversion"/>
  </si>
  <si>
    <t>2330</t>
    <phoneticPr fontId="1" type="noConversion"/>
  </si>
  <si>
    <t>日期</t>
  </si>
  <si>
    <t>開盤價</t>
  </si>
  <si>
    <t>最高價</t>
  </si>
  <si>
    <t>最低價</t>
  </si>
  <si>
    <t>收盤價</t>
  </si>
  <si>
    <t>成交量</t>
  </si>
  <si>
    <t>00878</t>
    <phoneticPr fontId="1" type="noConversion"/>
  </si>
  <si>
    <t>Total Weight</t>
    <phoneticPr fontId="1" type="noConversion"/>
  </si>
  <si>
    <t>2330</t>
  </si>
  <si>
    <t>2912</t>
  </si>
  <si>
    <t>2912</t>
    <phoneticPr fontId="1" type="noConversion"/>
  </si>
  <si>
    <t>00878</t>
  </si>
  <si>
    <t>0056</t>
  </si>
  <si>
    <t>0056</t>
    <phoneticPr fontId="1" type="noConversion"/>
  </si>
  <si>
    <t>2882</t>
  </si>
  <si>
    <t>2882</t>
    <phoneticPr fontId="1" type="noConversion"/>
  </si>
  <si>
    <t>113/03/29</t>
  </si>
  <si>
    <t>113/03/28</t>
  </si>
  <si>
    <t>113/03/27</t>
  </si>
  <si>
    <t>113/03/26</t>
  </si>
  <si>
    <t>113/03/25</t>
  </si>
  <si>
    <t>113/03/22</t>
  </si>
  <si>
    <t>113/03/21</t>
  </si>
  <si>
    <t>113/03/20</t>
  </si>
  <si>
    <t>113/03/19</t>
  </si>
  <si>
    <t>113/03/18</t>
  </si>
  <si>
    <t>113/03/15</t>
  </si>
  <si>
    <t>113/03/14</t>
  </si>
  <si>
    <t>113/03/13</t>
  </si>
  <si>
    <t>113/03/12</t>
  </si>
  <si>
    <t>113/03/11</t>
  </si>
  <si>
    <t>113/03/08</t>
  </si>
  <si>
    <t>113/03/07</t>
  </si>
  <si>
    <t>113/03/06</t>
  </si>
  <si>
    <t>113/03/05</t>
  </si>
  <si>
    <t>113/03/04</t>
  </si>
  <si>
    <t>113/03/01</t>
  </si>
  <si>
    <t>113/02/29</t>
  </si>
  <si>
    <t>113/02/27</t>
  </si>
  <si>
    <t>113/02/26</t>
  </si>
  <si>
    <t>113/02/23</t>
  </si>
  <si>
    <t>113/02/22</t>
  </si>
  <si>
    <t>113/02/21</t>
  </si>
  <si>
    <t>113/02/20</t>
  </si>
  <si>
    <t>113/02/19</t>
  </si>
  <si>
    <t>113/02/16</t>
  </si>
  <si>
    <t>113/02/15</t>
  </si>
  <si>
    <t>113/02/05</t>
  </si>
  <si>
    <t>113/02/02</t>
  </si>
  <si>
    <t>113/02/01</t>
  </si>
  <si>
    <t>113/01/31</t>
  </si>
  <si>
    <t>113/01/30</t>
  </si>
  <si>
    <t>113/01/29</t>
  </si>
  <si>
    <t>113/01/26</t>
  </si>
  <si>
    <t>113/01/25</t>
  </si>
  <si>
    <t>113/01/24</t>
  </si>
  <si>
    <t>113/01/23</t>
  </si>
  <si>
    <t>113/01/22</t>
  </si>
  <si>
    <t>113/01/19</t>
  </si>
  <si>
    <t>113/01/18</t>
  </si>
  <si>
    <t>113/01/17</t>
  </si>
  <si>
    <t>113/01/16</t>
  </si>
  <si>
    <t>113/01/15</t>
  </si>
  <si>
    <t>113/01/12</t>
  </si>
  <si>
    <t>113/01/11</t>
  </si>
  <si>
    <t>113/01/10</t>
  </si>
  <si>
    <t>113/01/09</t>
  </si>
  <si>
    <t>113/01/08</t>
  </si>
  <si>
    <t>113/01/05</t>
  </si>
  <si>
    <t>113/01/04</t>
  </si>
  <si>
    <t>113/01/03</t>
  </si>
  <si>
    <t>113/01/02</t>
  </si>
  <si>
    <t>日期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</si>
  <si>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</si>
  <si>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</si>
  <si>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</si>
  <si>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每日報酬率對數變化</t>
    <phoneticPr fontId="1" type="noConversion"/>
  </si>
  <si>
    <t>此表日期對應A行</t>
    <phoneticPr fontId="1" type="noConversion"/>
  </si>
  <si>
    <t>矩陣1</t>
    <phoneticPr fontId="1" type="noConversion"/>
  </si>
  <si>
    <t>矩陣2</t>
    <phoneticPr fontId="1" type="noConversion"/>
  </si>
  <si>
    <t>矩陣3</t>
    <phoneticPr fontId="1" type="noConversion"/>
  </si>
  <si>
    <t>▲ 共變異數矩陣</t>
    <phoneticPr fontId="1" type="noConversion"/>
  </si>
  <si>
    <t>▲ 相關係數矩陣</t>
    <phoneticPr fontId="1" type="noConversion"/>
  </si>
  <si>
    <t>▲ CheleskyDecompose矩陣</t>
    <phoneticPr fontId="1" type="noConversion"/>
  </si>
  <si>
    <t>Path Number</t>
    <phoneticPr fontId="1" type="noConversion"/>
  </si>
  <si>
    <t>亂數表1</t>
    <phoneticPr fontId="1" type="noConversion"/>
  </si>
  <si>
    <r>
      <t>此亂數表以</t>
    </r>
    <r>
      <rPr>
        <b/>
        <sz val="12"/>
        <color theme="1"/>
        <rFont val="新細明體"/>
        <family val="1"/>
        <charset val="136"/>
        <scheme val="minor"/>
      </rPr>
      <t>RANDARRAY 函數</t>
    </r>
    <r>
      <rPr>
        <sz val="12"/>
        <color theme="1"/>
        <rFont val="新細明體"/>
        <family val="2"/>
        <charset val="136"/>
        <scheme val="minor"/>
      </rPr>
      <t>生成，產生</t>
    </r>
    <r>
      <rPr>
        <b/>
        <sz val="12"/>
        <color theme="1"/>
        <rFont val="新細明體"/>
        <family val="1"/>
        <charset val="136"/>
        <scheme val="minor"/>
      </rPr>
      <t>0至1之間</t>
    </r>
    <r>
      <rPr>
        <sz val="12"/>
        <color theme="1"/>
        <rFont val="新細明體"/>
        <family val="2"/>
        <charset val="136"/>
        <scheme val="minor"/>
      </rPr>
      <t>的亂數</t>
    </r>
    <phoneticPr fontId="1" type="noConversion"/>
  </si>
  <si>
    <t>▲ 此處有註解</t>
    <phoneticPr fontId="1" type="noConversion"/>
  </si>
  <si>
    <r>
      <t>亂數表2 (亂數常態</t>
    </r>
    <r>
      <rPr>
        <sz val="12"/>
        <color theme="0"/>
        <rFont val="新細明體"/>
        <family val="1"/>
        <charset val="136"/>
      </rPr>
      <t>表</t>
    </r>
    <r>
      <rPr>
        <sz val="12"/>
        <color theme="0"/>
        <rFont val="新細明體"/>
        <family val="1"/>
        <charset val="136"/>
        <scheme val="minor"/>
      </rPr>
      <t>)</t>
    </r>
    <phoneticPr fontId="1" type="noConversion"/>
  </si>
  <si>
    <t>每日報酬率對數變化數值計算</t>
    <phoneticPr fontId="1" type="noConversion"/>
  </si>
  <si>
    <t>平均值 (Mean)</t>
    <phoneticPr fontId="1" type="noConversion"/>
  </si>
  <si>
    <t>變異數 (Var)</t>
    <phoneticPr fontId="1" type="noConversion"/>
  </si>
  <si>
    <t>標準差 (Std)</t>
    <phoneticPr fontId="1" type="noConversion"/>
  </si>
  <si>
    <t>年化標準差 (Std_year)</t>
    <phoneticPr fontId="1" type="noConversion"/>
  </si>
  <si>
    <r>
      <t>2. 請輸入5檔股票之</t>
    </r>
    <r>
      <rPr>
        <b/>
        <sz val="12"/>
        <color theme="1"/>
        <rFont val="新細明體"/>
        <family val="1"/>
        <charset val="136"/>
        <scheme val="minor"/>
      </rPr>
      <t>預估年報酬</t>
    </r>
    <r>
      <rPr>
        <sz val="12"/>
        <color theme="1"/>
        <rFont val="新細明體"/>
        <family val="2"/>
        <charset val="136"/>
        <scheme val="minor"/>
      </rPr>
      <t xml:space="preserve"> (即subjective mean)</t>
    </r>
    <phoneticPr fontId="1" type="noConversion"/>
  </si>
  <si>
    <r>
      <rPr>
        <sz val="12"/>
        <color theme="0"/>
        <rFont val="Calibri"/>
        <family val="1"/>
        <charset val="161"/>
      </rPr>
      <t>ε</t>
    </r>
    <r>
      <rPr>
        <sz val="12"/>
        <color theme="0"/>
        <rFont val="新細明體"/>
        <family val="1"/>
        <charset val="136"/>
        <scheme val="minor"/>
      </rPr>
      <t>表</t>
    </r>
    <r>
      <rPr>
        <sz val="12"/>
        <color theme="0"/>
        <rFont val="新細明體"/>
        <family val="1"/>
        <charset val="136"/>
      </rPr>
      <t xml:space="preserve"> </t>
    </r>
    <r>
      <rPr>
        <sz val="12"/>
        <color theme="0"/>
        <rFont val="新細明體"/>
        <family val="1"/>
        <charset val="136"/>
        <scheme val="minor"/>
      </rPr>
      <t>(</t>
    </r>
    <r>
      <rPr>
        <sz val="12"/>
        <color theme="0"/>
        <rFont val="新細明體"/>
        <family val="1"/>
        <charset val="136"/>
      </rPr>
      <t>常態亂數關聯修正</t>
    </r>
    <r>
      <rPr>
        <sz val="12"/>
        <color theme="0"/>
        <rFont val="新細明體"/>
        <family val="1"/>
        <charset val="136"/>
        <scheme val="minor"/>
      </rPr>
      <t>)</t>
    </r>
    <phoneticPr fontId="1" type="noConversion"/>
  </si>
  <si>
    <t>此表由以下公式生成模擬報酬表</t>
    <phoneticPr fontId="1" type="noConversion"/>
  </si>
  <si>
    <t>平均值</t>
    <phoneticPr fontId="1" type="noConversion"/>
  </si>
  <si>
    <t>模擬股票報酬(年化)</t>
    <phoneticPr fontId="1" type="noConversion"/>
  </si>
  <si>
    <r>
      <t>此亂數表將</t>
    </r>
    <r>
      <rPr>
        <b/>
        <sz val="12"/>
        <color theme="1"/>
        <rFont val="新細明體"/>
        <family val="1"/>
        <charset val="136"/>
        <scheme val="minor"/>
      </rPr>
      <t>亂數表1</t>
    </r>
    <r>
      <rPr>
        <sz val="12"/>
        <color theme="1"/>
        <rFont val="新細明體"/>
        <family val="2"/>
        <charset val="136"/>
        <scheme val="minor"/>
      </rPr>
      <t>亂數以</t>
    </r>
    <r>
      <rPr>
        <b/>
        <sz val="12"/>
        <color theme="1"/>
        <rFont val="新細明體"/>
        <family val="1"/>
        <charset val="136"/>
        <scheme val="minor"/>
      </rPr>
      <t>NORM.INV函數</t>
    </r>
    <r>
      <rPr>
        <sz val="12"/>
        <color theme="1"/>
        <rFont val="新細明體"/>
        <family val="1"/>
        <charset val="136"/>
        <scheme val="minor"/>
      </rPr>
      <t>調整後</t>
    </r>
    <r>
      <rPr>
        <sz val="12"/>
        <color theme="1"/>
        <rFont val="新細明體"/>
        <family val="2"/>
        <charset val="136"/>
        <scheme val="minor"/>
      </rPr>
      <t>生成(經反函數常態分配調整)，產生</t>
    </r>
    <r>
      <rPr>
        <b/>
        <sz val="12"/>
        <color theme="1"/>
        <rFont val="新細明體"/>
        <family val="1"/>
        <charset val="136"/>
        <scheme val="minor"/>
      </rPr>
      <t>-1至1之間</t>
    </r>
    <r>
      <rPr>
        <sz val="12"/>
        <color theme="1"/>
        <rFont val="新細明體"/>
        <family val="2"/>
        <charset val="136"/>
        <scheme val="minor"/>
      </rPr>
      <t>的亂數</t>
    </r>
    <phoneticPr fontId="1" type="noConversion"/>
  </si>
  <si>
    <t>亂數表</t>
    <phoneticPr fontId="1" type="noConversion"/>
  </si>
  <si>
    <r>
      <t>此表將</t>
    </r>
    <r>
      <rPr>
        <b/>
        <sz val="12"/>
        <color theme="1"/>
        <rFont val="新細明體"/>
        <family val="1"/>
        <charset val="136"/>
        <scheme val="minor"/>
      </rPr>
      <t>亂數表2</t>
    </r>
    <r>
      <rPr>
        <sz val="12"/>
        <color theme="1"/>
        <rFont val="新細明體"/>
        <family val="1"/>
        <charset val="136"/>
        <scheme val="minor"/>
      </rPr>
      <t>之值結合</t>
    </r>
    <r>
      <rPr>
        <b/>
        <sz val="12"/>
        <color theme="1"/>
        <rFont val="新細明體"/>
        <family val="1"/>
        <charset val="136"/>
        <scheme val="minor"/>
      </rPr>
      <t>CheleskyDecompose矩陣</t>
    </r>
    <r>
      <rPr>
        <sz val="12"/>
        <color theme="1"/>
        <rFont val="新細明體"/>
        <family val="2"/>
        <charset val="136"/>
        <scheme val="minor"/>
      </rPr>
      <t>，將亂數與歷史數據以</t>
    </r>
    <r>
      <rPr>
        <b/>
        <sz val="12"/>
        <color theme="1"/>
        <rFont val="新細明體"/>
        <family val="1"/>
        <charset val="136"/>
        <scheme val="minor"/>
      </rPr>
      <t>TRANSPOSE函數</t>
    </r>
    <r>
      <rPr>
        <sz val="12"/>
        <color theme="1"/>
        <rFont val="新細明體"/>
        <family val="2"/>
        <charset val="136"/>
        <scheme val="minor"/>
      </rPr>
      <t>建立關聯</t>
    </r>
    <phoneticPr fontId="1" type="noConversion"/>
  </si>
  <si>
    <t>Standard Deviation</t>
    <phoneticPr fontId="1" type="noConversion"/>
  </si>
  <si>
    <t>模擬權重表</t>
    <phoneticPr fontId="1" type="noConversion"/>
  </si>
  <si>
    <t xml:space="preserve">      1. 此表依據左側亂數表生成權重 ( 公式：該檔股票報酬 / 五檔股票報酬加總 )</t>
    <phoneticPr fontId="1" type="noConversion"/>
  </si>
  <si>
    <t xml:space="preserve">      2. 路徑1之值皆為0，原因是對應第一日報酬值應為0</t>
    <phoneticPr fontId="1" type="noConversion"/>
  </si>
  <si>
    <r>
      <t>此亂數表以</t>
    </r>
    <r>
      <rPr>
        <b/>
        <sz val="10"/>
        <color theme="1"/>
        <rFont val="新細明體"/>
        <family val="1"/>
        <charset val="136"/>
        <scheme val="minor"/>
      </rPr>
      <t>RANDARRAY 函數</t>
    </r>
    <r>
      <rPr>
        <sz val="10"/>
        <color theme="1"/>
        <rFont val="新細明體"/>
        <family val="1"/>
        <charset val="136"/>
        <scheme val="minor"/>
      </rPr>
      <t>生成，產生</t>
    </r>
    <r>
      <rPr>
        <b/>
        <sz val="10"/>
        <color theme="1"/>
        <rFont val="新細明體"/>
        <family val="1"/>
        <charset val="136"/>
        <scheme val="minor"/>
      </rPr>
      <t>0至1之間</t>
    </r>
    <r>
      <rPr>
        <sz val="10"/>
        <color theme="1"/>
        <rFont val="新細明體"/>
        <family val="1"/>
        <charset val="136"/>
        <scheme val="minor"/>
      </rPr>
      <t>的亂數假定為報酬。且由第一日報酬應為0的概念，將亂數表第一列設定為0</t>
    </r>
    <phoneticPr fontId="1" type="noConversion"/>
  </si>
  <si>
    <t xml:space="preserve">      3. Total Weight 為五股權重加總，理應固定為1  </t>
    <phoneticPr fontId="1" type="noConversion"/>
  </si>
  <si>
    <r>
      <t xml:space="preserve">      4. Mean 為平均值，以</t>
    </r>
    <r>
      <rPr>
        <b/>
        <sz val="10"/>
        <color rgb="FF7030A0"/>
        <rFont val="新細明體"/>
        <family val="1"/>
        <charset val="136"/>
        <scheme val="minor"/>
      </rPr>
      <t xml:space="preserve"> SUMPRODUCT 函數</t>
    </r>
    <r>
      <rPr>
        <sz val="10"/>
        <color rgb="FF7030A0"/>
        <rFont val="新細明體"/>
        <family val="1"/>
        <charset val="136"/>
        <scheme val="minor"/>
      </rPr>
      <t>將</t>
    </r>
    <r>
      <rPr>
        <b/>
        <sz val="10"/>
        <color rgb="FF7030A0"/>
        <rFont val="新細明體"/>
        <family val="1"/>
        <charset val="136"/>
        <scheme val="minor"/>
      </rPr>
      <t>模擬權重</t>
    </r>
    <r>
      <rPr>
        <sz val="10"/>
        <color rgb="FF7030A0"/>
        <rFont val="新細明體"/>
        <family val="1"/>
        <charset val="136"/>
        <scheme val="minor"/>
      </rPr>
      <t>以及</t>
    </r>
    <r>
      <rPr>
        <sz val="10"/>
        <color rgb="FF7030A0"/>
        <rFont val="新細明體"/>
        <family val="1"/>
        <charset val="136"/>
      </rPr>
      <t>「模擬股票報酬」工作表之</t>
    </r>
    <r>
      <rPr>
        <b/>
        <sz val="10"/>
        <color rgb="FF7030A0"/>
        <rFont val="新細明體"/>
        <family val="1"/>
        <charset val="136"/>
        <scheme val="minor"/>
      </rPr>
      <t>年化五股報酬平均值</t>
    </r>
    <r>
      <rPr>
        <sz val="10"/>
        <color rgb="FF7030A0"/>
        <rFont val="新細明體"/>
        <family val="1"/>
        <charset val="136"/>
        <scheme val="minor"/>
      </rPr>
      <t>( C62:G62 ) 建立關聯，產生模擬平均值</t>
    </r>
    <phoneticPr fontId="1" type="noConversion"/>
  </si>
  <si>
    <r>
      <t xml:space="preserve">      7. 此表為與歷史數據生成的</t>
    </r>
    <r>
      <rPr>
        <b/>
        <sz val="10"/>
        <color rgb="FF7030A0"/>
        <rFont val="新細明體"/>
        <family val="1"/>
        <charset val="136"/>
        <scheme val="minor"/>
      </rPr>
      <t>可信模擬數據</t>
    </r>
    <r>
      <rPr>
        <sz val="10"/>
        <color rgb="FF7030A0"/>
        <rFont val="新細明體"/>
        <family val="1"/>
        <charset val="136"/>
        <scheme val="minor"/>
      </rPr>
      <t>，而非真實數據</t>
    </r>
    <phoneticPr fontId="1" type="noConversion"/>
  </si>
  <si>
    <r>
      <t xml:space="preserve">      5. Variance 為變異數，同樣以</t>
    </r>
    <r>
      <rPr>
        <b/>
        <sz val="10"/>
        <color rgb="FF7030A0"/>
        <rFont val="新細明體"/>
        <family val="1"/>
        <charset val="136"/>
        <scheme val="minor"/>
      </rPr>
      <t xml:space="preserve"> SUMPRODUCT 函數</t>
    </r>
    <r>
      <rPr>
        <sz val="10"/>
        <color rgb="FF7030A0"/>
        <rFont val="新細明體"/>
        <family val="1"/>
        <charset val="136"/>
        <scheme val="minor"/>
      </rPr>
      <t>將</t>
    </r>
    <r>
      <rPr>
        <b/>
        <sz val="10"/>
        <color rgb="FF7030A0"/>
        <rFont val="新細明體"/>
        <family val="1"/>
        <charset val="136"/>
        <scheme val="minor"/>
      </rPr>
      <t>模擬權重</t>
    </r>
    <r>
      <rPr>
        <sz val="10"/>
        <color rgb="FF7030A0"/>
        <rFont val="新細明體"/>
        <family val="1"/>
        <charset val="136"/>
        <scheme val="minor"/>
      </rPr>
      <t>以及「五股收盤價與其他數據彙總」工作表之共</t>
    </r>
    <r>
      <rPr>
        <b/>
        <sz val="10"/>
        <color rgb="FF7030A0"/>
        <rFont val="新細明體"/>
        <family val="1"/>
        <charset val="136"/>
        <scheme val="minor"/>
      </rPr>
      <t>變異數矩陣</t>
    </r>
    <r>
      <rPr>
        <sz val="10"/>
        <color rgb="FF7030A0"/>
        <rFont val="新細明體"/>
        <family val="1"/>
        <charset val="136"/>
        <scheme val="minor"/>
      </rPr>
      <t>( P9:T13 ) 建立關聯，產生模擬變異數</t>
    </r>
    <phoneticPr fontId="1" type="noConversion"/>
  </si>
  <si>
    <t xml:space="preserve">      6. Standard Deviation 為標準差，即上述變異數之根號值，產生模擬標準差</t>
    <phoneticPr fontId="1" type="noConversion"/>
  </si>
  <si>
    <r>
      <rPr>
        <b/>
        <sz val="10"/>
        <color rgb="FF7030A0"/>
        <rFont val="新細明體"/>
        <family val="1"/>
        <charset val="136"/>
        <scheme val="minor"/>
      </rPr>
      <t xml:space="preserve">    </t>
    </r>
    <r>
      <rPr>
        <b/>
        <u/>
        <sz val="10"/>
        <color rgb="FF7030A0"/>
        <rFont val="新細明體"/>
        <family val="1"/>
        <charset val="136"/>
        <scheme val="minor"/>
      </rPr>
      <t>註解</t>
    </r>
    <r>
      <rPr>
        <b/>
        <sz val="10"/>
        <color rgb="FF7030A0"/>
        <rFont val="新細明體"/>
        <family val="1"/>
        <charset val="136"/>
        <scheme val="minor"/>
      </rPr>
      <t>：</t>
    </r>
    <phoneticPr fontId="1" type="noConversion"/>
  </si>
  <si>
    <t>1. 請輸入5檔股票代碼以擷取資料 (時間勿更動)</t>
    <phoneticPr fontId="1" type="noConversion"/>
  </si>
  <si>
    <t>預估年報酬值可參考第二張工作表之矩陣1與矩陣2</t>
    <phoneticPr fontId="1" type="noConversion"/>
  </si>
  <si>
    <t>Sharpe Ratio</t>
    <phoneticPr fontId="1" type="noConversion"/>
  </si>
  <si>
    <t>Rf</t>
    <phoneticPr fontId="1" type="noConversion"/>
  </si>
  <si>
    <t>最佳解請於「最佳化權重與數據」工作表查看(以深黃底色顯示)</t>
    <phoneticPr fontId="1" type="noConversion"/>
  </si>
  <si>
    <r>
      <t xml:space="preserve">      8. 深黃列為</t>
    </r>
    <r>
      <rPr>
        <b/>
        <sz val="10"/>
        <color rgb="FF7030A0"/>
        <rFont val="新細明體"/>
        <family val="1"/>
        <charset val="136"/>
        <scheme val="minor"/>
      </rPr>
      <t>最佳解</t>
    </r>
    <phoneticPr fontId="1" type="noConversion"/>
  </si>
  <si>
    <t>2882W</t>
    <phoneticPr fontId="1" type="noConversion"/>
  </si>
  <si>
    <t>2330W</t>
    <phoneticPr fontId="1" type="noConversion"/>
  </si>
  <si>
    <t>00878W</t>
    <phoneticPr fontId="1" type="noConversion"/>
  </si>
  <si>
    <t>0056W</t>
    <phoneticPr fontId="1" type="noConversion"/>
  </si>
  <si>
    <t>2912W</t>
    <phoneticPr fontId="1" type="noConversion"/>
  </si>
  <si>
    <t>Variance</t>
    <phoneticPr fontId="1" type="noConversion"/>
  </si>
  <si>
    <t>Mean</t>
    <phoneticPr fontId="1" type="noConversion"/>
  </si>
  <si>
    <t>2882 ~N(0,1)</t>
    <phoneticPr fontId="1" type="noConversion"/>
  </si>
  <si>
    <t>2330 ~N(0,1)</t>
    <phoneticPr fontId="1" type="noConversion"/>
  </si>
  <si>
    <t>00878 ~N(0,1)</t>
    <phoneticPr fontId="1" type="noConversion"/>
  </si>
  <si>
    <t>0056 ~N(0,1)</t>
    <phoneticPr fontId="1" type="noConversion"/>
  </si>
  <si>
    <t>2912 ~N(0,1)</t>
    <phoneticPr fontId="1" type="noConversion"/>
  </si>
  <si>
    <t>2882ε</t>
    <phoneticPr fontId="1" type="noConversion"/>
  </si>
  <si>
    <t>2330ε</t>
    <phoneticPr fontId="1" type="noConversion"/>
  </si>
  <si>
    <t>00878ε</t>
    <phoneticPr fontId="1" type="noConversion"/>
  </si>
  <si>
    <t>0056ε</t>
    <phoneticPr fontId="1" type="noConversion"/>
  </si>
  <si>
    <t>2912ε</t>
    <phoneticPr fontId="1" type="noConversion"/>
  </si>
  <si>
    <t>2882R</t>
    <phoneticPr fontId="1" type="noConversion"/>
  </si>
  <si>
    <t>2330R</t>
    <phoneticPr fontId="1" type="noConversion"/>
  </si>
  <si>
    <t>00878R</t>
    <phoneticPr fontId="1" type="noConversion"/>
  </si>
  <si>
    <t>0056R</t>
    <phoneticPr fontId="1" type="noConversion"/>
  </si>
  <si>
    <t>2912R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</si>
</sst>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b/>
      <sz val="10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b/>
      <sz val="11"/>
      <color rgb="FFC00000"/>
      <name val="新細明體"/>
      <family val="1"/>
      <charset val="136"/>
      <scheme val="minor"/>
    </font>
    <font>
      <sz val="12"/>
      <color theme="0"/>
      <name val="Calibri"/>
      <family val="1"/>
      <charset val="161"/>
    </font>
    <font>
      <sz val="12"/>
      <color theme="0"/>
      <name val="新細明體"/>
      <family val="1"/>
      <charset val="136"/>
    </font>
    <font>
      <b/>
      <sz val="10"/>
      <color theme="5" tint="-0.249977111117893"/>
      <name val="新細明體"/>
      <family val="1"/>
      <charset val="136"/>
      <scheme val="minor"/>
    </font>
    <font>
      <sz val="12"/>
      <color theme="0"/>
      <name val="新細明體"/>
      <family val="1"/>
      <charset val="161"/>
      <scheme val="minor"/>
    </font>
    <font>
      <sz val="10"/>
      <color rgb="FF7030A0"/>
      <name val="新細明體"/>
      <family val="1"/>
      <charset val="136"/>
      <scheme val="minor"/>
    </font>
    <font>
      <b/>
      <u/>
      <sz val="10"/>
      <color rgb="FF7030A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sz val="10"/>
      <color rgb="FF7030A0"/>
      <name val="新細明體"/>
      <family val="1"/>
      <charset val="136"/>
    </font>
    <font>
      <sz val="11"/>
      <color theme="1"/>
      <name val="新細明體"/>
      <family val="2"/>
      <charset val="136"/>
      <scheme val="minor"/>
    </font>
    <font>
      <b/>
      <sz val="12"/>
      <color theme="9" tint="-0.499984740745262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b/>
      <sz val="9"/>
      <color rgb="FF000000"/>
      <name val="細明體"/>
      <family val="1"/>
      <charset val="136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細明體"/>
      <family val="1"/>
      <charset val="136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DBF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83">
    <border>
      <left/>
      <right/>
      <top/>
      <bottom/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 style="thick">
        <color rgb="FF2F75B5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ck">
        <color rgb="FF2F75B5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ck">
        <color rgb="FF2F75B5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ck">
        <color rgb="FF2F75B5"/>
      </top>
      <bottom style="thin">
        <color theme="9" tint="0.39997558519241921"/>
      </bottom>
      <diagonal/>
    </border>
    <border>
      <left/>
      <right/>
      <top/>
      <bottom style="thick">
        <color rgb="FF2F75B5"/>
      </bottom>
      <diagonal/>
    </border>
    <border>
      <left/>
      <right style="thick">
        <color rgb="FF2F75B5"/>
      </right>
      <top style="thick">
        <color rgb="FF2F75B5"/>
      </top>
      <bottom style="thin">
        <color theme="9" tint="0.39997558519241921"/>
      </bottom>
      <diagonal/>
    </border>
    <border>
      <left/>
      <right style="thick">
        <color rgb="FF2F75B5"/>
      </right>
      <top/>
      <bottom/>
      <diagonal/>
    </border>
    <border>
      <left/>
      <right style="thick">
        <color rgb="FF2F75B5"/>
      </right>
      <top/>
      <bottom style="thick">
        <color rgb="FF2F75B5"/>
      </bottom>
      <diagonal/>
    </border>
    <border>
      <left style="thick">
        <color rgb="FF2F75B5"/>
      </left>
      <right/>
      <top/>
      <bottom style="thick">
        <color rgb="FF2F75B5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 style="thick">
        <color rgb="FFC6591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ck">
        <color rgb="FFC65911"/>
      </left>
      <right style="thin">
        <color theme="2" tint="-9.9978637043366805E-2"/>
      </right>
      <top style="thick">
        <color rgb="FFC65911"/>
      </top>
      <bottom style="thin">
        <color theme="2" tint="-9.9978637043366805E-2"/>
      </bottom>
      <diagonal/>
    </border>
    <border>
      <left style="thin">
        <color theme="9" tint="0.39997558519241921"/>
      </left>
      <right/>
      <top style="thick">
        <color rgb="FFC6591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ck">
        <color rgb="FFC6591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ck">
        <color rgb="FFC65911"/>
      </top>
      <bottom style="thin">
        <color theme="9" tint="0.39997558519241921"/>
      </bottom>
      <diagonal/>
    </border>
    <border>
      <left/>
      <right style="thick">
        <color rgb="FFC65911"/>
      </right>
      <top style="thick">
        <color rgb="FFC65911"/>
      </top>
      <bottom style="thin">
        <color theme="9" tint="0.39997558519241921"/>
      </bottom>
      <diagonal/>
    </border>
    <border>
      <left/>
      <right style="thick">
        <color rgb="FFC65911"/>
      </right>
      <top/>
      <bottom/>
      <diagonal/>
    </border>
    <border>
      <left style="thick">
        <color rgb="FF2F75B5"/>
      </left>
      <right style="thin">
        <color theme="2" tint="-9.9978637043366805E-2"/>
      </right>
      <top style="thick">
        <color rgb="FF2F75B5"/>
      </top>
      <bottom style="thin">
        <color theme="2" tint="-9.9978637043366805E-2"/>
      </bottom>
      <diagonal/>
    </border>
    <border>
      <left style="thick">
        <color rgb="FFC65911"/>
      </left>
      <right/>
      <top/>
      <bottom/>
      <diagonal/>
    </border>
    <border>
      <left style="medium">
        <color theme="7" tint="-0.249977111117893"/>
      </left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theme="7" tint="-0.249977111117893"/>
      </left>
      <right/>
      <top style="medium">
        <color theme="7" tint="-0.249977111117893"/>
      </top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 style="thick">
        <color rgb="FFBF8F00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ck">
        <color rgb="FFBF8F00"/>
      </left>
      <right style="thin">
        <color theme="2" tint="-9.9978637043366805E-2"/>
      </right>
      <top style="thick">
        <color rgb="FFBF8F00"/>
      </top>
      <bottom style="thin">
        <color theme="2" tint="-9.9978637043366805E-2"/>
      </bottom>
      <diagonal/>
    </border>
    <border>
      <left style="thin">
        <color theme="9" tint="0.39997558519241921"/>
      </left>
      <right/>
      <top style="thick">
        <color rgb="FFBF8F00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ck">
        <color rgb="FFBF8F00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ck">
        <color rgb="FFBF8F00"/>
      </top>
      <bottom style="thin">
        <color theme="9" tint="0.39997558519241921"/>
      </bottom>
      <diagonal/>
    </border>
    <border>
      <left style="thick">
        <color rgb="FFBF8F00"/>
      </left>
      <right style="thin">
        <color theme="2" tint="-9.9978637043366805E-2"/>
      </right>
      <top style="thin">
        <color theme="2" tint="-9.9978637043366805E-2"/>
      </top>
      <bottom style="thick">
        <color rgb="FFBF8F00"/>
      </bottom>
      <diagonal/>
    </border>
    <border>
      <left/>
      <right/>
      <top/>
      <bottom style="thick">
        <color rgb="FFBF8F00"/>
      </bottom>
      <diagonal/>
    </border>
    <border>
      <left/>
      <right style="thick">
        <color rgb="FFBF8F00"/>
      </right>
      <top style="thick">
        <color rgb="FFBF8F00"/>
      </top>
      <bottom style="thin">
        <color theme="9" tint="0.39997558519241921"/>
      </bottom>
      <diagonal/>
    </border>
    <border>
      <left/>
      <right style="thick">
        <color rgb="FFBF8F00"/>
      </right>
      <top/>
      <bottom/>
      <diagonal/>
    </border>
    <border>
      <left/>
      <right style="thick">
        <color rgb="FFBF8F00"/>
      </right>
      <top/>
      <bottom style="thick">
        <color rgb="FFBF8F0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 style="thick">
        <color rgb="FF7030A0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ck">
        <color rgb="FF7030A0"/>
      </left>
      <right style="thin">
        <color theme="2" tint="-9.9978637043366805E-2"/>
      </right>
      <top style="thick">
        <color rgb="FF7030A0"/>
      </top>
      <bottom style="thin">
        <color theme="2" tint="-9.9978637043366805E-2"/>
      </bottom>
      <diagonal/>
    </border>
    <border>
      <left style="thin">
        <color theme="9" tint="0.39997558519241921"/>
      </left>
      <right/>
      <top style="thick">
        <color rgb="FF7030A0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ck">
        <color rgb="FF7030A0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ck">
        <color rgb="FF7030A0"/>
      </top>
      <bottom style="thin">
        <color theme="9" tint="0.39997558519241921"/>
      </bottom>
      <diagonal/>
    </border>
    <border>
      <left style="thick">
        <color rgb="FF7030A0"/>
      </left>
      <right style="thin">
        <color theme="2" tint="-9.9978637043366805E-2"/>
      </right>
      <top style="thin">
        <color theme="2" tint="-9.9978637043366805E-2"/>
      </top>
      <bottom style="thick">
        <color rgb="FF7030A0"/>
      </bottom>
      <diagonal/>
    </border>
    <border>
      <left/>
      <right/>
      <top/>
      <bottom style="thick">
        <color rgb="FF7030A0"/>
      </bottom>
      <diagonal/>
    </border>
    <border>
      <left/>
      <right style="thick">
        <color rgb="FF7030A0"/>
      </right>
      <top style="thick">
        <color rgb="FF7030A0"/>
      </top>
      <bottom style="thin">
        <color theme="9" tint="0.39997558519241921"/>
      </bottom>
      <diagonal/>
    </border>
    <border>
      <left/>
      <right style="thick">
        <color rgb="FF7030A0"/>
      </right>
      <top/>
      <bottom/>
      <diagonal/>
    </border>
    <border>
      <left/>
      <right style="thick">
        <color rgb="FF7030A0"/>
      </right>
      <top/>
      <bottom style="thick">
        <color rgb="FF7030A0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ck">
        <color rgb="FF7030A0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ck">
        <color rgb="FF7030A0"/>
      </left>
      <right/>
      <top/>
      <bottom style="thick">
        <color rgb="FF7030A0"/>
      </bottom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thin">
        <color theme="7" tint="-0.249977111117893"/>
      </left>
      <right style="thick">
        <color rgb="FF7030A0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thick">
        <color rgb="FF7030A0"/>
      </right>
      <top style="thin">
        <color theme="7" tint="-0.249977111117893"/>
      </top>
      <bottom style="thick">
        <color rgb="FF7030A0"/>
      </bottom>
      <diagonal/>
    </border>
    <border>
      <left style="thick">
        <color auto="1"/>
      </left>
      <right/>
      <top/>
      <bottom style="thick">
        <color indexed="64"/>
      </bottom>
      <diagonal/>
    </border>
    <border>
      <left style="thick">
        <color auto="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ck">
        <color auto="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n">
        <color theme="9" tint="0.39997558519241921"/>
      </left>
      <right/>
      <top style="thick">
        <color auto="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ck">
        <color auto="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ck">
        <color auto="1"/>
      </top>
      <bottom style="thin">
        <color theme="9" tint="0.39997558519241921"/>
      </bottom>
      <diagonal/>
    </border>
    <border>
      <left/>
      <right style="thick">
        <color auto="1"/>
      </right>
      <top style="thick">
        <color auto="1"/>
      </top>
      <bottom style="thin">
        <color theme="9" tint="0.3999755851924192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quotePrefix="1" applyBorder="1">
      <alignment vertical="center"/>
    </xf>
    <xf numFmtId="3" fontId="0" fillId="0" borderId="0" xfId="0" applyNumberFormat="1">
      <alignment vertical="center"/>
    </xf>
    <xf numFmtId="49" fontId="3" fillId="5" borderId="3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/>
    </xf>
    <xf numFmtId="49" fontId="3" fillId="5" borderId="4" xfId="0" applyNumberFormat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6" borderId="0" xfId="0" applyFont="1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49" fontId="3" fillId="3" borderId="3" xfId="0" applyNumberFormat="1" applyFont="1" applyFill="1" applyBorder="1" applyAlignment="1">
      <alignment horizontal="center" vertical="center"/>
    </xf>
    <xf numFmtId="49" fontId="3" fillId="0" borderId="5" xfId="0" applyNumberFormat="1" applyFont="1" applyBorder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3" fillId="0" borderId="9" xfId="0" applyFont="1" applyBorder="1">
      <alignment vertical="center"/>
    </xf>
    <xf numFmtId="0" fontId="9" fillId="0" borderId="0" xfId="0" applyFont="1">
      <alignment vertical="center"/>
    </xf>
    <xf numFmtId="49" fontId="8" fillId="11" borderId="11" xfId="0" applyNumberFormat="1" applyFont="1" applyFill="1" applyBorder="1" applyAlignment="1">
      <alignment horizontal="center" vertical="center"/>
    </xf>
    <xf numFmtId="49" fontId="3" fillId="5" borderId="15" xfId="0" applyNumberFormat="1" applyFont="1" applyFill="1" applyBorder="1" applyAlignment="1">
      <alignment horizontal="right" vertical="center"/>
    </xf>
    <xf numFmtId="49" fontId="3" fillId="5" borderId="16" xfId="0" applyNumberFormat="1" applyFont="1" applyFill="1" applyBorder="1" applyAlignment="1">
      <alignment horizontal="center" vertical="center"/>
    </xf>
    <xf numFmtId="49" fontId="3" fillId="5" borderId="17" xfId="0" applyNumberFormat="1" applyFont="1" applyFill="1" applyBorder="1" applyAlignment="1">
      <alignment horizontal="center" vertical="center"/>
    </xf>
    <xf numFmtId="49" fontId="3" fillId="5" borderId="18" xfId="0" applyNumberFormat="1" applyFont="1" applyFill="1" applyBorder="1" applyAlignment="1">
      <alignment horizontal="center" vertical="center"/>
    </xf>
    <xf numFmtId="0" fontId="0" fillId="0" borderId="19" xfId="0" applyBorder="1">
      <alignment vertical="center"/>
    </xf>
    <xf numFmtId="49" fontId="3" fillId="5" borderId="20" xfId="0" applyNumberFormat="1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49" fontId="3" fillId="5" borderId="23" xfId="0" applyNumberFormat="1" applyFont="1" applyFill="1" applyBorder="1" applyAlignment="1">
      <alignment horizontal="right" vertical="center"/>
    </xf>
    <xf numFmtId="49" fontId="8" fillId="14" borderId="10" xfId="0" applyNumberFormat="1" applyFont="1" applyFill="1" applyBorder="1" applyAlignment="1">
      <alignment horizontal="center" vertical="center"/>
    </xf>
    <xf numFmtId="49" fontId="3" fillId="5" borderId="27" xfId="0" applyNumberFormat="1" applyFont="1" applyFill="1" applyBorder="1" applyAlignment="1">
      <alignment horizontal="right" vertical="center"/>
    </xf>
    <xf numFmtId="0" fontId="3" fillId="10" borderId="28" xfId="0" applyFont="1" applyFill="1" applyBorder="1">
      <alignment vertical="center"/>
    </xf>
    <xf numFmtId="49" fontId="3" fillId="5" borderId="29" xfId="0" applyNumberFormat="1" applyFont="1" applyFill="1" applyBorder="1" applyAlignment="1">
      <alignment horizontal="center" vertical="center"/>
    </xf>
    <xf numFmtId="49" fontId="3" fillId="5" borderId="30" xfId="0" applyNumberFormat="1" applyFont="1" applyFill="1" applyBorder="1" applyAlignment="1">
      <alignment horizontal="center" vertical="center"/>
    </xf>
    <xf numFmtId="49" fontId="3" fillId="5" borderId="31" xfId="0" applyNumberFormat="1" applyFont="1" applyFill="1" applyBorder="1" applyAlignment="1">
      <alignment horizontal="center" vertical="center"/>
    </xf>
    <xf numFmtId="49" fontId="3" fillId="5" borderId="32" xfId="0" applyNumberFormat="1" applyFont="1" applyFill="1" applyBorder="1" applyAlignment="1">
      <alignment horizontal="center" vertical="center"/>
    </xf>
    <xf numFmtId="0" fontId="0" fillId="0" borderId="33" xfId="0" applyBorder="1">
      <alignment vertical="center"/>
    </xf>
    <xf numFmtId="0" fontId="3" fillId="10" borderId="34" xfId="0" applyFont="1" applyFill="1" applyBorder="1">
      <alignment vertical="center"/>
    </xf>
    <xf numFmtId="49" fontId="3" fillId="3" borderId="37" xfId="0" applyNumberFormat="1" applyFont="1" applyFill="1" applyBorder="1" applyAlignment="1">
      <alignment horizontal="center" vertical="center"/>
    </xf>
    <xf numFmtId="0" fontId="0" fillId="0" borderId="36" xfId="0" applyBorder="1">
      <alignment vertical="center"/>
    </xf>
    <xf numFmtId="49" fontId="0" fillId="16" borderId="36" xfId="0" quotePrefix="1" applyNumberFormat="1" applyFill="1" applyBorder="1" applyAlignment="1">
      <alignment horizontal="left" vertical="center" wrapText="1"/>
    </xf>
    <xf numFmtId="0" fontId="3" fillId="5" borderId="42" xfId="0" applyFont="1" applyFill="1" applyBorder="1">
      <alignment vertical="center"/>
    </xf>
    <xf numFmtId="0" fontId="3" fillId="10" borderId="43" xfId="0" applyFont="1" applyFill="1" applyBorder="1">
      <alignment vertical="center"/>
    </xf>
    <xf numFmtId="49" fontId="3" fillId="5" borderId="44" xfId="0" applyNumberFormat="1" applyFont="1" applyFill="1" applyBorder="1" applyAlignment="1">
      <alignment horizontal="center" vertical="center"/>
    </xf>
    <xf numFmtId="49" fontId="3" fillId="5" borderId="45" xfId="0" applyNumberFormat="1" applyFont="1" applyFill="1" applyBorder="1" applyAlignment="1">
      <alignment horizontal="center" vertical="center"/>
    </xf>
    <xf numFmtId="49" fontId="3" fillId="5" borderId="46" xfId="0" applyNumberFormat="1" applyFont="1" applyFill="1" applyBorder="1" applyAlignment="1">
      <alignment horizontal="center" vertical="center"/>
    </xf>
    <xf numFmtId="0" fontId="3" fillId="5" borderId="47" xfId="0" applyFont="1" applyFill="1" applyBorder="1">
      <alignment vertical="center"/>
    </xf>
    <xf numFmtId="0" fontId="0" fillId="0" borderId="48" xfId="0" applyBorder="1">
      <alignment vertical="center"/>
    </xf>
    <xf numFmtId="49" fontId="3" fillId="5" borderId="49" xfId="0" applyNumberFormat="1" applyFont="1" applyFill="1" applyBorder="1" applyAlignment="1">
      <alignment horizontal="center"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49" fontId="13" fillId="15" borderId="24" xfId="0" applyNumberFormat="1" applyFont="1" applyFill="1" applyBorder="1" applyAlignment="1">
      <alignment horizontal="center" vertical="center"/>
    </xf>
    <xf numFmtId="49" fontId="3" fillId="5" borderId="35" xfId="0" applyNumberFormat="1" applyFont="1" applyFill="1" applyBorder="1" applyAlignment="1">
      <alignment horizontal="right" vertical="center"/>
    </xf>
    <xf numFmtId="49" fontId="8" fillId="17" borderId="24" xfId="0" applyNumberFormat="1" applyFont="1" applyFill="1" applyBorder="1" applyAlignment="1">
      <alignment horizontal="center" vertical="center"/>
    </xf>
    <xf numFmtId="0" fontId="3" fillId="5" borderId="53" xfId="0" applyFont="1" applyFill="1" applyBorder="1">
      <alignment vertical="center"/>
    </xf>
    <xf numFmtId="0" fontId="3" fillId="10" borderId="54" xfId="0" applyFont="1" applyFill="1" applyBorder="1">
      <alignment vertical="center"/>
    </xf>
    <xf numFmtId="49" fontId="3" fillId="5" borderId="55" xfId="0" applyNumberFormat="1" applyFont="1" applyFill="1" applyBorder="1" applyAlignment="1">
      <alignment horizontal="center" vertical="center"/>
    </xf>
    <xf numFmtId="49" fontId="3" fillId="5" borderId="56" xfId="0" applyNumberFormat="1" applyFont="1" applyFill="1" applyBorder="1" applyAlignment="1">
      <alignment horizontal="center" vertical="center"/>
    </xf>
    <xf numFmtId="49" fontId="3" fillId="5" borderId="57" xfId="0" applyNumberFormat="1" applyFont="1" applyFill="1" applyBorder="1" applyAlignment="1">
      <alignment horizontal="center" vertical="center"/>
    </xf>
    <xf numFmtId="0" fontId="3" fillId="5" borderId="58" xfId="0" applyFont="1" applyFill="1" applyBorder="1">
      <alignment vertical="center"/>
    </xf>
    <xf numFmtId="0" fontId="0" fillId="0" borderId="59" xfId="0" applyBorder="1">
      <alignment vertical="center"/>
    </xf>
    <xf numFmtId="49" fontId="3" fillId="5" borderId="60" xfId="0" applyNumberFormat="1" applyFont="1" applyFill="1" applyBorder="1" applyAlignment="1">
      <alignment horizontal="center" vertical="center"/>
    </xf>
    <xf numFmtId="0" fontId="0" fillId="0" borderId="61" xfId="0" applyBorder="1">
      <alignment vertical="center"/>
    </xf>
    <xf numFmtId="0" fontId="0" fillId="0" borderId="62" xfId="0" applyBorder="1">
      <alignment vertical="center"/>
    </xf>
    <xf numFmtId="0" fontId="0" fillId="18" borderId="52" xfId="0" applyFill="1" applyBorder="1" applyAlignment="1">
      <alignment vertical="center" wrapText="1"/>
    </xf>
    <xf numFmtId="0" fontId="3" fillId="0" borderId="63" xfId="0" applyFont="1" applyBorder="1">
      <alignment vertical="center"/>
    </xf>
    <xf numFmtId="0" fontId="3" fillId="3" borderId="58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3" fillId="5" borderId="64" xfId="0" applyNumberFormat="1" applyFont="1" applyFill="1" applyBorder="1" applyAlignment="1">
      <alignment horizontal="right" vertical="center"/>
    </xf>
    <xf numFmtId="49" fontId="3" fillId="5" borderId="65" xfId="0" applyNumberFormat="1" applyFont="1" applyFill="1" applyBorder="1" applyAlignment="1">
      <alignment horizontal="right" vertical="center"/>
    </xf>
    <xf numFmtId="49" fontId="8" fillId="17" borderId="67" xfId="0" applyNumberFormat="1" applyFont="1" applyFill="1" applyBorder="1" applyAlignment="1">
      <alignment horizontal="center" vertical="center"/>
    </xf>
    <xf numFmtId="0" fontId="14" fillId="18" borderId="66" xfId="0" applyFont="1" applyFill="1" applyBorder="1">
      <alignment vertical="center"/>
    </xf>
    <xf numFmtId="0" fontId="14" fillId="18" borderId="68" xfId="0" applyFont="1" applyFill="1" applyBorder="1">
      <alignment vertical="center"/>
    </xf>
    <xf numFmtId="0" fontId="16" fillId="18" borderId="66" xfId="0" applyFont="1" applyFill="1" applyBorder="1">
      <alignment vertical="center"/>
    </xf>
    <xf numFmtId="49" fontId="3" fillId="7" borderId="69" xfId="0" applyNumberFormat="1" applyFont="1" applyFill="1" applyBorder="1" applyAlignment="1">
      <alignment horizontal="center" vertical="center"/>
    </xf>
    <xf numFmtId="0" fontId="0" fillId="0" borderId="70" xfId="0" applyBorder="1">
      <alignment vertical="center"/>
    </xf>
    <xf numFmtId="0" fontId="0" fillId="19" borderId="71" xfId="0" applyFill="1" applyBorder="1">
      <alignment vertical="center"/>
    </xf>
    <xf numFmtId="0" fontId="0" fillId="0" borderId="71" xfId="0" applyBorder="1">
      <alignment vertical="center"/>
    </xf>
    <xf numFmtId="0" fontId="0" fillId="20" borderId="71" xfId="0" applyFill="1" applyBorder="1">
      <alignment vertical="center"/>
    </xf>
    <xf numFmtId="0" fontId="0" fillId="20" borderId="59" xfId="0" applyFill="1" applyBorder="1">
      <alignment vertical="center"/>
    </xf>
    <xf numFmtId="0" fontId="0" fillId="20" borderId="72" xfId="0" applyFill="1" applyBorder="1">
      <alignment vertical="center"/>
    </xf>
    <xf numFmtId="49" fontId="3" fillId="5" borderId="74" xfId="0" applyNumberFormat="1" applyFont="1" applyFill="1" applyBorder="1" applyAlignment="1">
      <alignment horizontal="center" vertical="center"/>
    </xf>
    <xf numFmtId="49" fontId="3" fillId="5" borderId="75" xfId="0" applyNumberFormat="1" applyFont="1" applyFill="1" applyBorder="1" applyAlignment="1">
      <alignment horizontal="center" vertical="center"/>
    </xf>
    <xf numFmtId="0" fontId="3" fillId="9" borderId="76" xfId="0" applyFont="1" applyFill="1" applyBorder="1" applyAlignment="1">
      <alignment horizontal="center" vertical="center"/>
    </xf>
    <xf numFmtId="49" fontId="3" fillId="5" borderId="77" xfId="0" applyNumberFormat="1" applyFont="1" applyFill="1" applyBorder="1" applyAlignment="1">
      <alignment horizontal="center" vertical="center"/>
    </xf>
    <xf numFmtId="49" fontId="3" fillId="5" borderId="78" xfId="0" applyNumberFormat="1" applyFont="1" applyFill="1" applyBorder="1" applyAlignment="1">
      <alignment horizontal="center" vertical="center"/>
    </xf>
    <xf numFmtId="49" fontId="3" fillId="5" borderId="79" xfId="0" applyNumberFormat="1" applyFont="1" applyFill="1" applyBorder="1" applyAlignment="1">
      <alignment horizontal="center" vertical="center"/>
    </xf>
    <xf numFmtId="49" fontId="3" fillId="5" borderId="80" xfId="0" applyNumberFormat="1" applyFont="1" applyFill="1" applyBorder="1" applyAlignment="1">
      <alignment horizontal="center" vertical="center"/>
    </xf>
    <xf numFmtId="0" fontId="0" fillId="0" borderId="81" xfId="0" applyBorder="1">
      <alignment vertical="center"/>
    </xf>
    <xf numFmtId="0" fontId="0" fillId="20" borderId="0" xfId="0" applyFill="1">
      <alignment vertical="center"/>
    </xf>
    <xf numFmtId="0" fontId="0" fillId="19" borderId="0" xfId="0" applyFill="1">
      <alignment vertical="center"/>
    </xf>
    <xf numFmtId="0" fontId="0" fillId="0" borderId="0" xfId="0" applyBorder="1">
      <alignment vertical="center"/>
    </xf>
    <xf numFmtId="0" fontId="0" fillId="2" borderId="0" xfId="0" applyFill="1" applyAlignment="1">
      <alignment horizontal="center" vertical="center"/>
    </xf>
    <xf numFmtId="0" fontId="12" fillId="21" borderId="38" xfId="0" applyFont="1" applyFill="1" applyBorder="1" applyAlignment="1">
      <alignment horizontal="center" vertical="center"/>
    </xf>
    <xf numFmtId="49" fontId="19" fillId="3" borderId="0" xfId="0" applyNumberFormat="1" applyFont="1" applyFill="1" applyAlignment="1">
      <alignment horizontal="center" vertical="center"/>
    </xf>
    <xf numFmtId="49" fontId="3" fillId="8" borderId="73" xfId="0" applyNumberFormat="1" applyFon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3" fillId="8" borderId="82" xfId="0" applyNumberFormat="1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3" borderId="24" xfId="0" applyFill="1" applyBorder="1" applyAlignment="1">
      <alignment horizontal="center" vertical="center" wrapText="1"/>
    </xf>
    <xf numFmtId="0" fontId="0" fillId="13" borderId="25" xfId="0" applyFill="1" applyBorder="1" applyAlignment="1">
      <alignment horizontal="center" vertical="center" wrapText="1"/>
    </xf>
    <xf numFmtId="0" fontId="0" fillId="13" borderId="26" xfId="0" applyFill="1" applyBorder="1" applyAlignment="1">
      <alignment horizontal="center" vertical="center" wrapText="1"/>
    </xf>
    <xf numFmtId="0" fontId="0" fillId="16" borderId="39" xfId="0" applyFill="1" applyBorder="1" applyAlignment="1">
      <alignment horizontal="center" vertical="center" wrapText="1"/>
    </xf>
    <xf numFmtId="0" fontId="0" fillId="16" borderId="40" xfId="0" applyFill="1" applyBorder="1" applyAlignment="1">
      <alignment horizontal="center" vertical="center" wrapText="1"/>
    </xf>
    <xf numFmtId="0" fontId="0" fillId="16" borderId="41" xfId="0" applyFill="1" applyBorder="1" applyAlignment="1">
      <alignment horizontal="center" vertical="center" wrapText="1"/>
    </xf>
    <xf numFmtId="0" fontId="5" fillId="12" borderId="12" xfId="0" applyFont="1" applyFill="1" applyBorder="1" applyAlignment="1">
      <alignment horizontal="center" vertical="center" wrapText="1"/>
    </xf>
    <xf numFmtId="0" fontId="5" fillId="12" borderId="13" xfId="0" applyFont="1" applyFill="1" applyBorder="1" applyAlignment="1">
      <alignment horizontal="center" vertical="center" wrapText="1"/>
    </xf>
    <xf numFmtId="0" fontId="5" fillId="12" borderId="14" xfId="0" applyFont="1" applyFill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EADBF5"/>
      <color rgb="FFE4D2F2"/>
      <color rgb="FFC65911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TW"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TW"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最佳化權重與數據!$Q$3:$Q$58</c:f>
              <c:numCache>
                <c:formatCode>General</c:formatCode>
                <c:ptCount val="56"/>
                <c:pt idx="0">
                  <c:v>7.9444508859929637E-5</c:v>
                </c:pt>
                <c:pt idx="1">
                  <c:v>4.8923628650205364E-5</c:v>
                </c:pt>
                <c:pt idx="2">
                  <c:v>5.5303164121692543E-5</c:v>
                </c:pt>
                <c:pt idx="3">
                  <c:v>5.4382381869029516E-5</c:v>
                </c:pt>
                <c:pt idx="4">
                  <c:v>3.9061478275439182E-5</c:v>
                </c:pt>
                <c:pt idx="5">
                  <c:v>6.7600682899166242E-5</c:v>
                </c:pt>
                <c:pt idx="6">
                  <c:v>1.0724355732801298E-4</c:v>
                </c:pt>
                <c:pt idx="7">
                  <c:v>4.0824051688479141E-5</c:v>
                </c:pt>
                <c:pt idx="8">
                  <c:v>5.2070056523431675E-5</c:v>
                </c:pt>
                <c:pt idx="9">
                  <c:v>6.8447344884490152E-5</c:v>
                </c:pt>
                <c:pt idx="10">
                  <c:v>5.5514675215809233E-5</c:v>
                </c:pt>
                <c:pt idx="11">
                  <c:v>3.0384148057491901E-5</c:v>
                </c:pt>
                <c:pt idx="12">
                  <c:v>3.6861242324681844E-5</c:v>
                </c:pt>
                <c:pt idx="13">
                  <c:v>3.8583343714869066E-5</c:v>
                </c:pt>
                <c:pt idx="14">
                  <c:v>3.8123568470650816E-5</c:v>
                </c:pt>
                <c:pt idx="15">
                  <c:v>8.007393765506819E-5</c:v>
                </c:pt>
                <c:pt idx="16">
                  <c:v>3.8649230918575455E-5</c:v>
                </c:pt>
                <c:pt idx="17">
                  <c:v>3.2280834521318012E-5</c:v>
                </c:pt>
                <c:pt idx="18">
                  <c:v>7.0498973404657783E-5</c:v>
                </c:pt>
                <c:pt idx="19">
                  <c:v>4.8760147058510498E-5</c:v>
                </c:pt>
                <c:pt idx="20">
                  <c:v>4.130007250881872E-5</c:v>
                </c:pt>
                <c:pt idx="21">
                  <c:v>6.3110826706088674E-5</c:v>
                </c:pt>
                <c:pt idx="22">
                  <c:v>6.8933714991010949E-5</c:v>
                </c:pt>
                <c:pt idx="23">
                  <c:v>6.971441141975756E-5</c:v>
                </c:pt>
                <c:pt idx="24">
                  <c:v>4.0803932833735233E-5</c:v>
                </c:pt>
                <c:pt idx="25">
                  <c:v>3.0163616940159762E-5</c:v>
                </c:pt>
                <c:pt idx="26">
                  <c:v>5.17494998525806E-5</c:v>
                </c:pt>
                <c:pt idx="27">
                  <c:v>4.3664094573263826E-5</c:v>
                </c:pt>
                <c:pt idx="28">
                  <c:v>5.3169864148390559E-5</c:v>
                </c:pt>
                <c:pt idx="29">
                  <c:v>3.8789735963611767E-5</c:v>
                </c:pt>
                <c:pt idx="30">
                  <c:v>3.6416851005801301E-5</c:v>
                </c:pt>
                <c:pt idx="31">
                  <c:v>6.0954578019444679E-5</c:v>
                </c:pt>
                <c:pt idx="32">
                  <c:v>6.7860485969009436E-5</c:v>
                </c:pt>
                <c:pt idx="33">
                  <c:v>4.9745111659531304E-5</c:v>
                </c:pt>
                <c:pt idx="34">
                  <c:v>3.2964575479317423E-5</c:v>
                </c:pt>
                <c:pt idx="35">
                  <c:v>4.6394814353972951E-5</c:v>
                </c:pt>
                <c:pt idx="36">
                  <c:v>1.1739908328008945E-4</c:v>
                </c:pt>
                <c:pt idx="37">
                  <c:v>3.9603450040997788E-5</c:v>
                </c:pt>
                <c:pt idx="38">
                  <c:v>2.842208200344215E-5</c:v>
                </c:pt>
                <c:pt idx="39">
                  <c:v>9.0977163514212648E-5</c:v>
                </c:pt>
                <c:pt idx="40">
                  <c:v>3.1740116776004432E-5</c:v>
                </c:pt>
                <c:pt idx="41">
                  <c:v>6.4614759333226574E-5</c:v>
                </c:pt>
                <c:pt idx="42">
                  <c:v>3.9313551631775734E-5</c:v>
                </c:pt>
                <c:pt idx="43">
                  <c:v>2.8107644320271586E-5</c:v>
                </c:pt>
                <c:pt idx="44">
                  <c:v>5.7787990369191991E-5</c:v>
                </c:pt>
                <c:pt idx="45">
                  <c:v>1.0140822443935224E-4</c:v>
                </c:pt>
                <c:pt idx="46">
                  <c:v>6.990081448704067E-5</c:v>
                </c:pt>
                <c:pt idx="47">
                  <c:v>7.6364371537267209E-5</c:v>
                </c:pt>
                <c:pt idx="48">
                  <c:v>6.2675177194300715E-5</c:v>
                </c:pt>
                <c:pt idx="49">
                  <c:v>2.9105833071590549E-5</c:v>
                </c:pt>
                <c:pt idx="50">
                  <c:v>4.8035099879669026E-5</c:v>
                </c:pt>
                <c:pt idx="51">
                  <c:v>9.4597538042460834E-5</c:v>
                </c:pt>
                <c:pt idx="52">
                  <c:v>5.2088700846458322E-5</c:v>
                </c:pt>
                <c:pt idx="53">
                  <c:v>5.3411693774713162E-5</c:v>
                </c:pt>
                <c:pt idx="54">
                  <c:v>4.2588813692512423E-5</c:v>
                </c:pt>
                <c:pt idx="55">
                  <c:v>3.1264370339623562E-5</c:v>
                </c:pt>
              </c:numCache>
            </c:numRef>
          </c:xVal>
          <c:yVal>
            <c:numRef>
              <c:f>最佳化權重與數據!$R$3:$R$58</c:f>
              <c:numCache>
                <c:formatCode>General</c:formatCode>
                <c:ptCount val="56"/>
                <c:pt idx="0">
                  <c:v>4.6167876329165969E-2</c:v>
                </c:pt>
                <c:pt idx="1">
                  <c:v>3.4982989999311119E-2</c:v>
                </c:pt>
                <c:pt idx="2">
                  <c:v>3.7457697370667037E-2</c:v>
                </c:pt>
                <c:pt idx="3">
                  <c:v>3.5317230171016817E-2</c:v>
                </c:pt>
                <c:pt idx="4">
                  <c:v>2.9058081085573079E-2</c:v>
                </c:pt>
                <c:pt idx="5">
                  <c:v>4.3687140187508945E-2</c:v>
                </c:pt>
                <c:pt idx="6">
                  <c:v>4.9881153242392125E-2</c:v>
                </c:pt>
                <c:pt idx="7">
                  <c:v>3.3141998080140289E-2</c:v>
                </c:pt>
                <c:pt idx="8">
                  <c:v>3.6567437529838362E-2</c:v>
                </c:pt>
                <c:pt idx="9">
                  <c:v>3.990296148204911E-2</c:v>
                </c:pt>
                <c:pt idx="10">
                  <c:v>3.711144755775992E-2</c:v>
                </c:pt>
                <c:pt idx="11">
                  <c:v>2.6968834331915811E-2</c:v>
                </c:pt>
                <c:pt idx="12">
                  <c:v>3.0866127691131458E-2</c:v>
                </c:pt>
                <c:pt idx="13">
                  <c:v>3.3721295460882289E-2</c:v>
                </c:pt>
                <c:pt idx="14">
                  <c:v>3.3254823548310219E-2</c:v>
                </c:pt>
                <c:pt idx="15">
                  <c:v>4.1336713007027959E-2</c:v>
                </c:pt>
                <c:pt idx="16">
                  <c:v>3.0447558953868605E-2</c:v>
                </c:pt>
                <c:pt idx="17">
                  <c:v>2.2482713880592992E-2</c:v>
                </c:pt>
                <c:pt idx="18">
                  <c:v>4.975600415547822E-2</c:v>
                </c:pt>
                <c:pt idx="19">
                  <c:v>3.6174572638765674E-2</c:v>
                </c:pt>
                <c:pt idx="20">
                  <c:v>3.2718663649995462E-2</c:v>
                </c:pt>
                <c:pt idx="21">
                  <c:v>4.2907714770584561E-2</c:v>
                </c:pt>
                <c:pt idx="22">
                  <c:v>4.5307259802017816E-2</c:v>
                </c:pt>
                <c:pt idx="23">
                  <c:v>4.195528705130399E-2</c:v>
                </c:pt>
                <c:pt idx="24">
                  <c:v>3.2747865009308971E-2</c:v>
                </c:pt>
                <c:pt idx="25">
                  <c:v>1.5254977390418697E-2</c:v>
                </c:pt>
                <c:pt idx="26">
                  <c:v>3.0636364355696801E-2</c:v>
                </c:pt>
                <c:pt idx="27">
                  <c:v>3.342751900804878E-2</c:v>
                </c:pt>
                <c:pt idx="28">
                  <c:v>3.8840935226863854E-2</c:v>
                </c:pt>
                <c:pt idx="29">
                  <c:v>3.2905070841262707E-2</c:v>
                </c:pt>
                <c:pt idx="30">
                  <c:v>3.007954791679239E-2</c:v>
                </c:pt>
                <c:pt idx="31">
                  <c:v>4.1313860885642706E-2</c:v>
                </c:pt>
                <c:pt idx="32">
                  <c:v>4.2271463032414192E-2</c:v>
                </c:pt>
                <c:pt idx="33">
                  <c:v>3.6749880570891708E-2</c:v>
                </c:pt>
                <c:pt idx="34">
                  <c:v>3.2364771506501751E-2</c:v>
                </c:pt>
                <c:pt idx="35">
                  <c:v>3.8539715194933759E-2</c:v>
                </c:pt>
                <c:pt idx="36">
                  <c:v>5.9687750767093137E-2</c:v>
                </c:pt>
                <c:pt idx="37">
                  <c:v>3.1118165250739065E-2</c:v>
                </c:pt>
                <c:pt idx="38">
                  <c:v>2.4459858920455584E-2</c:v>
                </c:pt>
                <c:pt idx="39">
                  <c:v>5.0877001647847621E-2</c:v>
                </c:pt>
                <c:pt idx="40">
                  <c:v>2.2038858674943505E-2</c:v>
                </c:pt>
                <c:pt idx="41">
                  <c:v>4.4861794521568583E-2</c:v>
                </c:pt>
                <c:pt idx="42">
                  <c:v>1.9381676116701857E-2</c:v>
                </c:pt>
                <c:pt idx="43">
                  <c:v>2.5160603148560483E-2</c:v>
                </c:pt>
                <c:pt idx="44">
                  <c:v>4.4088070798212663E-2</c:v>
                </c:pt>
                <c:pt idx="45">
                  <c:v>5.1765701563495775E-2</c:v>
                </c:pt>
                <c:pt idx="46">
                  <c:v>4.8847126414463857E-2</c:v>
                </c:pt>
                <c:pt idx="47">
                  <c:v>4.6356280909969454E-2</c:v>
                </c:pt>
                <c:pt idx="48">
                  <c:v>4.3357771144740681E-2</c:v>
                </c:pt>
                <c:pt idx="49">
                  <c:v>2.4995096141425994E-2</c:v>
                </c:pt>
                <c:pt idx="50">
                  <c:v>3.6421602386164438E-2</c:v>
                </c:pt>
                <c:pt idx="51">
                  <c:v>4.8818750503737733E-2</c:v>
                </c:pt>
                <c:pt idx="52">
                  <c:v>3.8174179077664912E-2</c:v>
                </c:pt>
                <c:pt idx="53">
                  <c:v>3.8038385571438557E-2</c:v>
                </c:pt>
                <c:pt idx="54">
                  <c:v>1.6939949329105322E-2</c:v>
                </c:pt>
                <c:pt idx="55">
                  <c:v>2.1885016757345218E-2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8-4E69-8F31-E9EAF574E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37887"/>
        <c:axId val="1358935807"/>
      </c:scatterChart>
      <c:valAx>
        <c:axId val="135893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58935807"/>
        <c:crosses val="autoZero"/>
        <c:crossBetween val="midCat"/>
      </c:valAx>
      <c:valAx>
        <c:axId val="135893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5893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yVal>
            <c:numRef>
              <c:f>最佳化權重與數據!$Q$2:$Q$58</c:f>
              <c:numCache>
                <c:formatCode>General</c:formatCode>
                <c:ptCount val="57"/>
                <c:pt idx="0">
                  <c:v>0</c:v>
                </c:pt>
                <c:pt idx="1">
                  <c:v>7.9444508859929637E-5</c:v>
                </c:pt>
                <c:pt idx="2">
                  <c:v>4.8923628650205364E-5</c:v>
                </c:pt>
                <c:pt idx="3">
                  <c:v>5.5303164121692543E-5</c:v>
                </c:pt>
                <c:pt idx="4">
                  <c:v>5.4382381869029516E-5</c:v>
                </c:pt>
                <c:pt idx="5">
                  <c:v>3.9061478275439182E-5</c:v>
                </c:pt>
                <c:pt idx="6">
                  <c:v>6.7600682899166242E-5</c:v>
                </c:pt>
                <c:pt idx="7">
                  <c:v>1.0724355732801298E-4</c:v>
                </c:pt>
                <c:pt idx="8">
                  <c:v>4.0824051688479141E-5</c:v>
                </c:pt>
                <c:pt idx="9">
                  <c:v>5.2070056523431675E-5</c:v>
                </c:pt>
                <c:pt idx="10">
                  <c:v>6.8447344884490152E-5</c:v>
                </c:pt>
                <c:pt idx="11">
                  <c:v>5.5514675215809233E-5</c:v>
                </c:pt>
                <c:pt idx="12">
                  <c:v>3.0384148057491901E-5</c:v>
                </c:pt>
                <c:pt idx="13">
                  <c:v>3.6861242324681844E-5</c:v>
                </c:pt>
                <c:pt idx="14">
                  <c:v>3.8583343714869066E-5</c:v>
                </c:pt>
                <c:pt idx="15">
                  <c:v>3.8123568470650816E-5</c:v>
                </c:pt>
                <c:pt idx="16">
                  <c:v>8.007393765506819E-5</c:v>
                </c:pt>
                <c:pt idx="17">
                  <c:v>3.8649230918575455E-5</c:v>
                </c:pt>
                <c:pt idx="18">
                  <c:v>3.2280834521318012E-5</c:v>
                </c:pt>
                <c:pt idx="19">
                  <c:v>7.0498973404657783E-5</c:v>
                </c:pt>
                <c:pt idx="20">
                  <c:v>4.8760147058510498E-5</c:v>
                </c:pt>
                <c:pt idx="21">
                  <c:v>4.130007250881872E-5</c:v>
                </c:pt>
                <c:pt idx="22">
                  <c:v>6.3110826706088674E-5</c:v>
                </c:pt>
                <c:pt idx="23">
                  <c:v>6.8933714991010949E-5</c:v>
                </c:pt>
                <c:pt idx="24">
                  <c:v>6.971441141975756E-5</c:v>
                </c:pt>
                <c:pt idx="25">
                  <c:v>4.0803932833735233E-5</c:v>
                </c:pt>
                <c:pt idx="26">
                  <c:v>3.0163616940159762E-5</c:v>
                </c:pt>
                <c:pt idx="27">
                  <c:v>5.17494998525806E-5</c:v>
                </c:pt>
                <c:pt idx="28">
                  <c:v>4.3664094573263826E-5</c:v>
                </c:pt>
                <c:pt idx="29">
                  <c:v>5.3169864148390559E-5</c:v>
                </c:pt>
                <c:pt idx="30">
                  <c:v>3.8789735963611767E-5</c:v>
                </c:pt>
                <c:pt idx="31">
                  <c:v>3.6416851005801301E-5</c:v>
                </c:pt>
                <c:pt idx="32">
                  <c:v>6.0954578019444679E-5</c:v>
                </c:pt>
                <c:pt idx="33">
                  <c:v>6.7860485969009436E-5</c:v>
                </c:pt>
                <c:pt idx="34">
                  <c:v>4.9745111659531304E-5</c:v>
                </c:pt>
                <c:pt idx="35">
                  <c:v>3.2964575479317423E-5</c:v>
                </c:pt>
                <c:pt idx="36">
                  <c:v>4.6394814353972951E-5</c:v>
                </c:pt>
                <c:pt idx="37">
                  <c:v>1.1739908328008945E-4</c:v>
                </c:pt>
                <c:pt idx="38">
                  <c:v>3.9603450040997788E-5</c:v>
                </c:pt>
                <c:pt idx="39">
                  <c:v>2.842208200344215E-5</c:v>
                </c:pt>
                <c:pt idx="40">
                  <c:v>9.0977163514212648E-5</c:v>
                </c:pt>
                <c:pt idx="41">
                  <c:v>3.1740116776004432E-5</c:v>
                </c:pt>
                <c:pt idx="42">
                  <c:v>6.4614759333226574E-5</c:v>
                </c:pt>
                <c:pt idx="43">
                  <c:v>3.9313551631775734E-5</c:v>
                </c:pt>
                <c:pt idx="44">
                  <c:v>2.8107644320271586E-5</c:v>
                </c:pt>
                <c:pt idx="45">
                  <c:v>5.7787990369191991E-5</c:v>
                </c:pt>
                <c:pt idx="46">
                  <c:v>1.0140822443935224E-4</c:v>
                </c:pt>
                <c:pt idx="47">
                  <c:v>6.990081448704067E-5</c:v>
                </c:pt>
                <c:pt idx="48">
                  <c:v>7.6364371537267209E-5</c:v>
                </c:pt>
                <c:pt idx="49">
                  <c:v>6.2675177194300715E-5</c:v>
                </c:pt>
                <c:pt idx="50">
                  <c:v>2.9105833071590549E-5</c:v>
                </c:pt>
                <c:pt idx="51">
                  <c:v>4.8035099879669026E-5</c:v>
                </c:pt>
                <c:pt idx="52">
                  <c:v>9.4597538042460834E-5</c:v>
                </c:pt>
                <c:pt idx="53">
                  <c:v>5.2088700846458322E-5</c:v>
                </c:pt>
                <c:pt idx="54">
                  <c:v>5.3411693774713162E-5</c:v>
                </c:pt>
                <c:pt idx="55">
                  <c:v>4.2588813692512423E-5</c:v>
                </c:pt>
                <c:pt idx="56">
                  <c:v>3.1264370339623562E-5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19-4F37-82C6-310615AAF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186703"/>
        <c:axId val="1314190543"/>
      </c:scatterChart>
      <c:valAx>
        <c:axId val="1314186703"/>
        <c:scaling>
          <c:orientation val="minMax"/>
        </c:scaling>
        <c:delete val="0"/>
        <c:axPos val="b"/>
        <c:majorTickMark val="out"/>
        <c:minorTickMark val="none"/>
        <c:tickLblPos val="nextTo"/>
        <c:crossAx val="1314190543"/>
        <c:crosses val="autoZero"/>
        <c:crossBetween val="midCat"/>
      </c:valAx>
      <c:valAx>
        <c:axId val="1314190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41867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yVal>
            <c:numRef>
              <c:f>最佳化權重與數據!$Q$2:$Q$58</c:f>
              <c:numCache>
                <c:formatCode>General</c:formatCode>
                <c:ptCount val="57"/>
                <c:pt idx="0">
                  <c:v>0</c:v>
                </c:pt>
                <c:pt idx="1">
                  <c:v>7.9444508859929637E-5</c:v>
                </c:pt>
                <c:pt idx="2">
                  <c:v>4.8923628650205364E-5</c:v>
                </c:pt>
                <c:pt idx="3">
                  <c:v>5.5303164121692543E-5</c:v>
                </c:pt>
                <c:pt idx="4">
                  <c:v>5.4382381869029516E-5</c:v>
                </c:pt>
                <c:pt idx="5">
                  <c:v>3.9061478275439182E-5</c:v>
                </c:pt>
                <c:pt idx="6">
                  <c:v>6.7600682899166242E-5</c:v>
                </c:pt>
                <c:pt idx="7">
                  <c:v>1.0724355732801298E-4</c:v>
                </c:pt>
                <c:pt idx="8">
                  <c:v>4.0824051688479141E-5</c:v>
                </c:pt>
                <c:pt idx="9">
                  <c:v>5.2070056523431675E-5</c:v>
                </c:pt>
                <c:pt idx="10">
                  <c:v>6.8447344884490152E-5</c:v>
                </c:pt>
                <c:pt idx="11">
                  <c:v>5.5514675215809233E-5</c:v>
                </c:pt>
                <c:pt idx="12">
                  <c:v>3.0384148057491901E-5</c:v>
                </c:pt>
                <c:pt idx="13">
                  <c:v>3.6861242324681844E-5</c:v>
                </c:pt>
                <c:pt idx="14">
                  <c:v>3.8583343714869066E-5</c:v>
                </c:pt>
                <c:pt idx="15">
                  <c:v>3.8123568470650816E-5</c:v>
                </c:pt>
                <c:pt idx="16">
                  <c:v>8.007393765506819E-5</c:v>
                </c:pt>
                <c:pt idx="17">
                  <c:v>3.8649230918575455E-5</c:v>
                </c:pt>
                <c:pt idx="18">
                  <c:v>3.2280834521318012E-5</c:v>
                </c:pt>
                <c:pt idx="19">
                  <c:v>7.0498973404657783E-5</c:v>
                </c:pt>
                <c:pt idx="20">
                  <c:v>4.8760147058510498E-5</c:v>
                </c:pt>
                <c:pt idx="21">
                  <c:v>4.130007250881872E-5</c:v>
                </c:pt>
                <c:pt idx="22">
                  <c:v>6.3110826706088674E-5</c:v>
                </c:pt>
                <c:pt idx="23">
                  <c:v>6.8933714991010949E-5</c:v>
                </c:pt>
                <c:pt idx="24">
                  <c:v>6.971441141975756E-5</c:v>
                </c:pt>
                <c:pt idx="25">
                  <c:v>4.0803932833735233E-5</c:v>
                </c:pt>
                <c:pt idx="26">
                  <c:v>3.0163616940159762E-5</c:v>
                </c:pt>
                <c:pt idx="27">
                  <c:v>5.17494998525806E-5</c:v>
                </c:pt>
                <c:pt idx="28">
                  <c:v>4.3664094573263826E-5</c:v>
                </c:pt>
                <c:pt idx="29">
                  <c:v>5.3169864148390559E-5</c:v>
                </c:pt>
                <c:pt idx="30">
                  <c:v>3.8789735963611767E-5</c:v>
                </c:pt>
                <c:pt idx="31">
                  <c:v>3.6416851005801301E-5</c:v>
                </c:pt>
                <c:pt idx="32">
                  <c:v>6.0954578019444679E-5</c:v>
                </c:pt>
                <c:pt idx="33">
                  <c:v>6.7860485969009436E-5</c:v>
                </c:pt>
                <c:pt idx="34">
                  <c:v>4.9745111659531304E-5</c:v>
                </c:pt>
                <c:pt idx="35">
                  <c:v>3.2964575479317423E-5</c:v>
                </c:pt>
                <c:pt idx="36">
                  <c:v>4.6394814353972951E-5</c:v>
                </c:pt>
                <c:pt idx="37">
                  <c:v>1.1739908328008945E-4</c:v>
                </c:pt>
                <c:pt idx="38">
                  <c:v>3.9603450040997788E-5</c:v>
                </c:pt>
                <c:pt idx="39">
                  <c:v>2.842208200344215E-5</c:v>
                </c:pt>
                <c:pt idx="40">
                  <c:v>9.0977163514212648E-5</c:v>
                </c:pt>
                <c:pt idx="41">
                  <c:v>3.1740116776004432E-5</c:v>
                </c:pt>
                <c:pt idx="42">
                  <c:v>6.4614759333226574E-5</c:v>
                </c:pt>
                <c:pt idx="43">
                  <c:v>3.9313551631775734E-5</c:v>
                </c:pt>
                <c:pt idx="44">
                  <c:v>2.8107644320271586E-5</c:v>
                </c:pt>
                <c:pt idx="45">
                  <c:v>5.7787990369191991E-5</c:v>
                </c:pt>
                <c:pt idx="46">
                  <c:v>1.0140822443935224E-4</c:v>
                </c:pt>
                <c:pt idx="47">
                  <c:v>6.990081448704067E-5</c:v>
                </c:pt>
                <c:pt idx="48">
                  <c:v>7.6364371537267209E-5</c:v>
                </c:pt>
                <c:pt idx="49">
                  <c:v>6.2675177194300715E-5</c:v>
                </c:pt>
                <c:pt idx="50">
                  <c:v>2.9105833071590549E-5</c:v>
                </c:pt>
                <c:pt idx="51">
                  <c:v>4.8035099879669026E-5</c:v>
                </c:pt>
                <c:pt idx="52">
                  <c:v>9.4597538042460834E-5</c:v>
                </c:pt>
                <c:pt idx="53">
                  <c:v>5.2088700846458322E-5</c:v>
                </c:pt>
                <c:pt idx="54">
                  <c:v>5.3411693774713162E-5</c:v>
                </c:pt>
                <c:pt idx="55">
                  <c:v>4.2588813692512423E-5</c:v>
                </c:pt>
                <c:pt idx="56">
                  <c:v>3.1264370339623562E-5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0C-451E-9C19-AFE33EC97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191503"/>
        <c:axId val="1314187183"/>
      </c:scatterChart>
      <c:valAx>
        <c:axId val="1314191503"/>
        <c:scaling>
          <c:orientation val="minMax"/>
        </c:scaling>
        <c:delete val="0"/>
        <c:axPos val="b"/>
        <c:majorTickMark val="out"/>
        <c:minorTickMark val="none"/>
        <c:tickLblPos val="nextTo"/>
        <c:crossAx val="1314187183"/>
        <c:crosses val="autoZero"/>
        <c:crossBetween val="midCat"/>
      </c:valAx>
      <c:valAx>
        <c:axId val="13141871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41915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yVal>
            <c:numRef>
              <c:f>最佳化權重與數據!$Q$2:$Q$58</c:f>
              <c:numCache>
                <c:formatCode>General</c:formatCode>
                <c:ptCount val="57"/>
                <c:pt idx="0">
                  <c:v>0</c:v>
                </c:pt>
                <c:pt idx="1">
                  <c:v>7.9444508859929637E-5</c:v>
                </c:pt>
                <c:pt idx="2">
                  <c:v>4.8923628650205364E-5</c:v>
                </c:pt>
                <c:pt idx="3">
                  <c:v>5.5303164121692543E-5</c:v>
                </c:pt>
                <c:pt idx="4">
                  <c:v>5.4382381869029516E-5</c:v>
                </c:pt>
                <c:pt idx="5">
                  <c:v>3.9061478275439182E-5</c:v>
                </c:pt>
                <c:pt idx="6">
                  <c:v>6.7600682899166242E-5</c:v>
                </c:pt>
                <c:pt idx="7">
                  <c:v>1.0724355732801298E-4</c:v>
                </c:pt>
                <c:pt idx="8">
                  <c:v>4.0824051688479141E-5</c:v>
                </c:pt>
                <c:pt idx="9">
                  <c:v>5.2070056523431675E-5</c:v>
                </c:pt>
                <c:pt idx="10">
                  <c:v>6.8447344884490152E-5</c:v>
                </c:pt>
                <c:pt idx="11">
                  <c:v>5.5514675215809233E-5</c:v>
                </c:pt>
                <c:pt idx="12">
                  <c:v>3.0384148057491901E-5</c:v>
                </c:pt>
                <c:pt idx="13">
                  <c:v>3.6861242324681844E-5</c:v>
                </c:pt>
                <c:pt idx="14">
                  <c:v>3.8583343714869066E-5</c:v>
                </c:pt>
                <c:pt idx="15">
                  <c:v>3.8123568470650816E-5</c:v>
                </c:pt>
                <c:pt idx="16">
                  <c:v>8.007393765506819E-5</c:v>
                </c:pt>
                <c:pt idx="17">
                  <c:v>3.8649230918575455E-5</c:v>
                </c:pt>
                <c:pt idx="18">
                  <c:v>3.2280834521318012E-5</c:v>
                </c:pt>
                <c:pt idx="19">
                  <c:v>7.0498973404657783E-5</c:v>
                </c:pt>
                <c:pt idx="20">
                  <c:v>4.8760147058510498E-5</c:v>
                </c:pt>
                <c:pt idx="21">
                  <c:v>4.130007250881872E-5</c:v>
                </c:pt>
                <c:pt idx="22">
                  <c:v>6.3110826706088674E-5</c:v>
                </c:pt>
                <c:pt idx="23">
                  <c:v>6.8933714991010949E-5</c:v>
                </c:pt>
                <c:pt idx="24">
                  <c:v>6.971441141975756E-5</c:v>
                </c:pt>
                <c:pt idx="25">
                  <c:v>4.0803932833735233E-5</c:v>
                </c:pt>
                <c:pt idx="26">
                  <c:v>3.0163616940159762E-5</c:v>
                </c:pt>
                <c:pt idx="27">
                  <c:v>5.17494998525806E-5</c:v>
                </c:pt>
                <c:pt idx="28">
                  <c:v>4.3664094573263826E-5</c:v>
                </c:pt>
                <c:pt idx="29">
                  <c:v>5.3169864148390559E-5</c:v>
                </c:pt>
                <c:pt idx="30">
                  <c:v>3.8789735963611767E-5</c:v>
                </c:pt>
                <c:pt idx="31">
                  <c:v>3.6416851005801301E-5</c:v>
                </c:pt>
                <c:pt idx="32">
                  <c:v>6.0954578019444679E-5</c:v>
                </c:pt>
                <c:pt idx="33">
                  <c:v>6.7860485969009436E-5</c:v>
                </c:pt>
                <c:pt idx="34">
                  <c:v>4.9745111659531304E-5</c:v>
                </c:pt>
                <c:pt idx="35">
                  <c:v>3.2964575479317423E-5</c:v>
                </c:pt>
                <c:pt idx="36">
                  <c:v>4.6394814353972951E-5</c:v>
                </c:pt>
                <c:pt idx="37">
                  <c:v>1.1739908328008945E-4</c:v>
                </c:pt>
                <c:pt idx="38">
                  <c:v>3.9603450040997788E-5</c:v>
                </c:pt>
                <c:pt idx="39">
                  <c:v>2.842208200344215E-5</c:v>
                </c:pt>
                <c:pt idx="40">
                  <c:v>9.0977163514212648E-5</c:v>
                </c:pt>
                <c:pt idx="41">
                  <c:v>3.1740116776004432E-5</c:v>
                </c:pt>
                <c:pt idx="42">
                  <c:v>6.4614759333226574E-5</c:v>
                </c:pt>
                <c:pt idx="43">
                  <c:v>3.9313551631775734E-5</c:v>
                </c:pt>
                <c:pt idx="44">
                  <c:v>2.8107644320271586E-5</c:v>
                </c:pt>
                <c:pt idx="45">
                  <c:v>5.7787990369191991E-5</c:v>
                </c:pt>
                <c:pt idx="46">
                  <c:v>1.0140822443935224E-4</c:v>
                </c:pt>
                <c:pt idx="47">
                  <c:v>6.990081448704067E-5</c:v>
                </c:pt>
                <c:pt idx="48">
                  <c:v>7.6364371537267209E-5</c:v>
                </c:pt>
                <c:pt idx="49">
                  <c:v>6.2675177194300715E-5</c:v>
                </c:pt>
                <c:pt idx="50">
                  <c:v>2.9105833071590549E-5</c:v>
                </c:pt>
                <c:pt idx="51">
                  <c:v>4.8035099879669026E-5</c:v>
                </c:pt>
                <c:pt idx="52">
                  <c:v>9.4597538042460834E-5</c:v>
                </c:pt>
                <c:pt idx="53">
                  <c:v>5.2088700846458322E-5</c:v>
                </c:pt>
                <c:pt idx="54">
                  <c:v>5.3411693774713162E-5</c:v>
                </c:pt>
                <c:pt idx="55">
                  <c:v>4.2588813692512423E-5</c:v>
                </c:pt>
                <c:pt idx="56">
                  <c:v>3.1264370339623562E-5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9B-44CC-BD65-6970C0C8C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1680"/>
        <c:axId val="279018880"/>
      </c:scatterChart>
      <c:valAx>
        <c:axId val="279011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79018880"/>
        <c:crosses val="autoZero"/>
        <c:crossBetween val="midCat"/>
      </c:valAx>
      <c:valAx>
        <c:axId val="2790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0116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241300</xdr:colOff>
          <xdr:row>1</xdr:row>
          <xdr:rowOff>25400</xdr:rowOff>
        </xdr:from>
        <xdr:to>
          <xdr:col>13</xdr:col>
          <xdr:colOff>1066800</xdr:colOff>
          <xdr:row>3</xdr:row>
          <xdr:rowOff>12700</xdr:rowOff>
        </xdr:to>
        <xdr:sp macro="" textlink="">
          <xdr:nvSpPr>
            <xdr:cNvPr id="96268" name="Button 12" hidden="1">
              <a:extLst>
                <a:ext uri="{63B3BB69-23CF-44E3-9099-C40C66FF867C}">
                  <a14:compatExt spid="_x0000_s96268"/>
                </a:ext>
                <a:ext uri="{FF2B5EF4-FFF2-40B4-BE49-F238E27FC236}">
                  <a16:creationId xmlns:a16="http://schemas.microsoft.com/office/drawing/2014/main" id="{00000000-0008-0000-0000-00000C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A. 下載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3</xdr:row>
          <xdr:rowOff>165100</xdr:rowOff>
        </xdr:from>
        <xdr:to>
          <xdr:col>13</xdr:col>
          <xdr:colOff>1066800</xdr:colOff>
          <xdr:row>6</xdr:row>
          <xdr:rowOff>25400</xdr:rowOff>
        </xdr:to>
        <xdr:sp macro="" textlink="">
          <xdr:nvSpPr>
            <xdr:cNvPr id="96272" name="Button 16" hidden="1">
              <a:extLst>
                <a:ext uri="{63B3BB69-23CF-44E3-9099-C40C66FF867C}">
                  <a14:compatExt spid="_x0000_s96272"/>
                </a:ext>
                <a:ext uri="{FF2B5EF4-FFF2-40B4-BE49-F238E27FC236}">
                  <a16:creationId xmlns:a16="http://schemas.microsoft.com/office/drawing/2014/main" id="{00000000-0008-0000-0000-000010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B. 五股資料彙整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6</xdr:row>
          <xdr:rowOff>177800</xdr:rowOff>
        </xdr:from>
        <xdr:to>
          <xdr:col>13</xdr:col>
          <xdr:colOff>1066800</xdr:colOff>
          <xdr:row>9</xdr:row>
          <xdr:rowOff>12700</xdr:rowOff>
        </xdr:to>
        <xdr:sp macro="" textlink="">
          <xdr:nvSpPr>
            <xdr:cNvPr id="96275" name="Button 19" hidden="1">
              <a:extLst>
                <a:ext uri="{63B3BB69-23CF-44E3-9099-C40C66FF867C}">
                  <a14:compatExt spid="_x0000_s96275"/>
                </a:ext>
                <a:ext uri="{FF2B5EF4-FFF2-40B4-BE49-F238E27FC236}">
                  <a16:creationId xmlns:a16="http://schemas.microsoft.com/office/drawing/2014/main" id="{00000000-0008-0000-0000-00001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C. 模擬股票報酬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9</xdr:row>
          <xdr:rowOff>152400</xdr:rowOff>
        </xdr:from>
        <xdr:to>
          <xdr:col>13</xdr:col>
          <xdr:colOff>1079500</xdr:colOff>
          <xdr:row>11</xdr:row>
          <xdr:rowOff>215900</xdr:rowOff>
        </xdr:to>
        <xdr:sp macro="" textlink="">
          <xdr:nvSpPr>
            <xdr:cNvPr id="96276" name="Button 20" hidden="1">
              <a:extLst>
                <a:ext uri="{63B3BB69-23CF-44E3-9099-C40C66FF867C}">
                  <a14:compatExt spid="_x0000_s96276"/>
                </a:ext>
                <a:ext uri="{FF2B5EF4-FFF2-40B4-BE49-F238E27FC236}">
                  <a16:creationId xmlns:a16="http://schemas.microsoft.com/office/drawing/2014/main" id="{00000000-0008-0000-0000-00001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D. 最佳化求解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336550</xdr:colOff>
          <xdr:row>13</xdr:row>
          <xdr:rowOff>101600</xdr:rowOff>
        </xdr:from>
        <xdr:to>
          <xdr:col>13</xdr:col>
          <xdr:colOff>1174750</xdr:colOff>
          <xdr:row>16</xdr:row>
          <xdr:rowOff>196850</xdr:rowOff>
        </xdr:to>
        <xdr:sp macro="" textlink="">
          <xdr:nvSpPr>
            <xdr:cNvPr id="96278" name="Button 22" hidden="1">
              <a:extLst>
                <a:ext uri="{63B3BB69-23CF-44E3-9099-C40C66FF867C}">
                  <a14:compatExt spid="_x0000_s96278"/>
                </a:ext>
                <a:ext uri="{FF2B5EF4-FFF2-40B4-BE49-F238E27FC236}">
                  <a16:creationId xmlns:a16="http://schemas.microsoft.com/office/drawing/2014/main" id="{00000000-0008-0000-0000-00001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圖表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22</xdr:row>
      <xdr:rowOff>0</xdr:rowOff>
    </xdr:from>
    <xdr:to>
      <xdr:col>21</xdr:col>
      <xdr:colOff>285896</xdr:colOff>
      <xdr:row>35</xdr:row>
      <xdr:rowOff>39025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E6304381-1BFA-49BE-979D-3A03B56D5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4</xdr:row>
      <xdr:rowOff>106680</xdr:rowOff>
    </xdr:from>
    <xdr:to>
      <xdr:col>0</xdr:col>
      <xdr:colOff>6032500</xdr:colOff>
      <xdr:row>18</xdr:row>
      <xdr:rowOff>68580</xdr:rowOff>
    </xdr:to>
    <xdr:graphicFrame macro="">
      <xdr:nvGraphicFramePr>
        <xdr:cNvPr id="44" name="圖表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1270000</xdr:colOff>
      <xdr:row>4</xdr:row>
      <xdr:rowOff>106680</xdr:rowOff>
    </xdr:from>
    <xdr:to>
      <xdr:col>0</xdr:col>
      <xdr:colOff>6032500</xdr:colOff>
      <xdr:row>18</xdr:row>
      <xdr:rowOff>68580</xdr:rowOff>
    </xdr:to>
    <xdr:graphicFrame macro="">
      <xdr:nvGraphicFramePr>
        <xdr:cNvPr id="45" name="圖表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1270000</xdr:colOff>
      <xdr:row>4</xdr:row>
      <xdr:rowOff>106680</xdr:rowOff>
    </xdr:from>
    <xdr:to>
      <xdr:col>0</xdr:col>
      <xdr:colOff>6032500</xdr:colOff>
      <xdr:row>18</xdr:row>
      <xdr:rowOff>68580</xdr:rowOff>
    </xdr:to>
    <xdr:graphicFrame macro="">
      <xdr:nvGraphicFramePr>
        <xdr:cNvPr id="46" name="圖表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D47E-070E-4D4C-B3A1-26F751EAECA3}">
  <sheetPr codeName="工作表119"/>
  <dimension ref="A1:K11"/>
  <sheetViews>
    <sheetView topLeftCell="A10" zoomScale="59" zoomScaleNormal="59" workbookViewId="0">
      <selection activeCell="O23" sqref="O23"/>
    </sheetView>
  </sheetViews>
  <sheetFormatPr defaultColWidth="8.81640625" defaultRowHeight="17" x14ac:dyDescent="0.4"/>
  <cols>
    <col min="1" max="1" width="10.08984375" bestFit="1" customWidth="1"/>
    <col min="2" max="2" width="11.6328125" bestFit="1" customWidth="1"/>
    <col min="3" max="3" width="7.81640625" customWidth="1"/>
    <col min="4" max="5" width="7.81640625" bestFit="1" customWidth="1"/>
    <col min="6" max="6" width="12.08984375" bestFit="1" customWidth="1"/>
    <col min="7" max="11" width="12.453125" customWidth="1"/>
    <col min="14" max="14" width="19.6328125" customWidth="1"/>
  </cols>
  <sheetData>
    <row r="1" spans="1:11" ht="17.5" thickBot="1" x14ac:dyDescent="0.45">
      <c r="A1" s="92" t="s">
        <v>119</v>
      </c>
      <c r="B1" s="92"/>
      <c r="C1" s="92"/>
      <c r="D1" s="92"/>
      <c r="E1" s="92"/>
      <c r="G1" s="92" t="s">
        <v>100</v>
      </c>
      <c r="H1" s="92"/>
      <c r="I1" s="92"/>
      <c r="J1" s="92"/>
      <c r="K1" s="92"/>
    </row>
    <row r="2" spans="1:11" ht="17.5" thickBot="1" x14ac:dyDescent="0.4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G2" s="39" t="s">
        <v>21</v>
      </c>
      <c r="H2" s="39" t="s">
        <v>5</v>
      </c>
      <c r="I2" s="39" t="s">
        <v>12</v>
      </c>
      <c r="J2" s="39" t="s">
        <v>19</v>
      </c>
      <c r="K2" s="39" t="s">
        <v>16</v>
      </c>
    </row>
    <row r="3" spans="1:11" ht="17.5" thickBot="1" x14ac:dyDescent="0.45">
      <c r="A3" s="3" t="s">
        <v>21</v>
      </c>
      <c r="B3" s="2">
        <v>113</v>
      </c>
      <c r="C3" s="3" t="s">
        <v>79</v>
      </c>
      <c r="D3" s="3" t="s">
        <v>80</v>
      </c>
      <c r="E3" s="3" t="s">
        <v>81</v>
      </c>
      <c r="G3" s="38">
        <v>1.4999999999999999E-2</v>
      </c>
      <c r="H3" s="38">
        <v>0.1</v>
      </c>
      <c r="I3" s="38">
        <v>4.2000000000000003E-2</v>
      </c>
      <c r="J3" s="38">
        <v>0.03</v>
      </c>
      <c r="K3" s="38">
        <v>1.2E-2</v>
      </c>
    </row>
    <row r="4" spans="1:11" ht="17.5" thickBot="1" x14ac:dyDescent="0.45">
      <c r="A4" s="3" t="s">
        <v>5</v>
      </c>
      <c r="B4" s="2">
        <v>113</v>
      </c>
      <c r="C4" s="3" t="s">
        <v>79</v>
      </c>
      <c r="D4" s="3" t="s">
        <v>80</v>
      </c>
      <c r="E4" s="3" t="s">
        <v>81</v>
      </c>
      <c r="G4" s="93" t="s">
        <v>120</v>
      </c>
      <c r="H4" s="93"/>
      <c r="I4" s="93"/>
      <c r="J4" s="93"/>
      <c r="K4" s="93"/>
    </row>
    <row r="5" spans="1:11" ht="17.5" thickBot="1" x14ac:dyDescent="0.45">
      <c r="A5" s="3" t="s">
        <v>12</v>
      </c>
      <c r="B5" s="2">
        <v>113</v>
      </c>
      <c r="C5" s="3" t="s">
        <v>79</v>
      </c>
      <c r="D5" s="3" t="s">
        <v>80</v>
      </c>
      <c r="E5" s="3" t="s">
        <v>81</v>
      </c>
    </row>
    <row r="6" spans="1:11" ht="17.5" thickBot="1" x14ac:dyDescent="0.45">
      <c r="A6" s="3" t="s">
        <v>19</v>
      </c>
      <c r="B6" s="2">
        <v>113</v>
      </c>
      <c r="C6" s="3" t="s">
        <v>79</v>
      </c>
      <c r="D6" s="3" t="s">
        <v>80</v>
      </c>
      <c r="E6" s="3" t="s">
        <v>81</v>
      </c>
    </row>
    <row r="7" spans="1:11" ht="17.5" thickBot="1" x14ac:dyDescent="0.45">
      <c r="A7" s="3" t="s">
        <v>16</v>
      </c>
      <c r="B7" s="2">
        <v>113</v>
      </c>
      <c r="C7" s="3" t="s">
        <v>79</v>
      </c>
      <c r="D7" s="3" t="s">
        <v>80</v>
      </c>
      <c r="E7" s="3" t="s">
        <v>81</v>
      </c>
    </row>
    <row r="8" spans="1:11" x14ac:dyDescent="0.4">
      <c r="A8" s="9"/>
      <c r="B8" s="9"/>
      <c r="C8" s="9"/>
      <c r="D8" s="9"/>
      <c r="E8" s="9"/>
    </row>
    <row r="10" spans="1:11" x14ac:dyDescent="0.4">
      <c r="A10" s="94" t="s">
        <v>123</v>
      </c>
      <c r="B10" s="94"/>
      <c r="C10" s="94"/>
      <c r="D10" s="94"/>
      <c r="E10" s="94"/>
      <c r="F10" s="94"/>
      <c r="G10" s="94"/>
      <c r="H10" s="94"/>
      <c r="I10" s="94"/>
      <c r="J10" s="94"/>
      <c r="K10" s="94"/>
    </row>
    <row r="11" spans="1:11" x14ac:dyDescent="0.4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</row>
  </sheetData>
  <mergeCells count="4">
    <mergeCell ref="A1:E1"/>
    <mergeCell ref="G1:K1"/>
    <mergeCell ref="G4:K4"/>
    <mergeCell ref="A10:K1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68" r:id="rId4" name="Button 12">
              <controlPr defaultSize="0" print="0" autoFill="0" autoPict="0" macro="[0]!下載與併表_">
                <anchor moveWithCells="1" sizeWithCells="1">
                  <from>
                    <xdr:col>12</xdr:col>
                    <xdr:colOff>241300</xdr:colOff>
                    <xdr:row>1</xdr:row>
                    <xdr:rowOff>25400</xdr:rowOff>
                  </from>
                  <to>
                    <xdr:col>13</xdr:col>
                    <xdr:colOff>1066800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5" name="Button 16">
              <controlPr defaultSize="0" print="0" autoFill="0" autoPict="0" macro="[0]!Summary5Stocks">
                <anchor moveWithCells="1" sizeWithCells="1">
                  <from>
                    <xdr:col>12</xdr:col>
                    <xdr:colOff>228600</xdr:colOff>
                    <xdr:row>3</xdr:row>
                    <xdr:rowOff>165100</xdr:rowOff>
                  </from>
                  <to>
                    <xdr:col>13</xdr:col>
                    <xdr:colOff>1066800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5" r:id="rId6" name="Button 19">
              <controlPr defaultSize="0" print="0" autoFill="0" autoPict="0" macro="[0]!Simulation_All">
                <anchor moveWithCells="1" sizeWithCells="1">
                  <from>
                    <xdr:col>12</xdr:col>
                    <xdr:colOff>228600</xdr:colOff>
                    <xdr:row>6</xdr:row>
                    <xdr:rowOff>177800</xdr:rowOff>
                  </from>
                  <to>
                    <xdr:col>13</xdr:col>
                    <xdr:colOff>1066800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6" r:id="rId7" name="Button 20">
              <controlPr defaultSize="0" print="0" autoFill="0" autoPict="0" macro="[0]!Optimize_All">
                <anchor moveWithCells="1" sizeWithCells="1">
                  <from>
                    <xdr:col>12</xdr:col>
                    <xdr:colOff>228600</xdr:colOff>
                    <xdr:row>9</xdr:row>
                    <xdr:rowOff>152400</xdr:rowOff>
                  </from>
                  <to>
                    <xdr:col>13</xdr:col>
                    <xdr:colOff>1079500</xdr:colOff>
                    <xdr:row>11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8" r:id="rId8" name="Button 22">
              <controlPr defaultSize="0" print="0" autoFill="0" autoPict="0" macro="[0]!效率前緣">
                <anchor moveWithCells="1" sizeWithCells="1">
                  <from>
                    <xdr:col>12</xdr:col>
                    <xdr:colOff>336550</xdr:colOff>
                    <xdr:row>13</xdr:row>
                    <xdr:rowOff>101600</xdr:rowOff>
                  </from>
                  <to>
                    <xdr:col>13</xdr:col>
                    <xdr:colOff>1174750</xdr:colOff>
                    <xdr:row>16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5EF74-612D-4164-B238-B46A73F0AE37}">
  <sheetPr codeName="工作表7"/>
  <dimension ref="A1:T57"/>
  <sheetViews>
    <sheetView zoomScale="60" zoomScaleNormal="60" workbookViewId="0">
      <selection activeCell="O29" sqref="O29:O33"/>
    </sheetView>
  </sheetViews>
  <sheetFormatPr defaultColWidth="8.81640625" defaultRowHeight="17" x14ac:dyDescent="0.4"/>
  <cols>
    <col min="1" max="1" width="10.81640625" customWidth="1"/>
    <col min="2" max="2" width="7.08984375" bestFit="1" customWidth="1"/>
    <col min="3" max="3" width="7.453125" bestFit="1" customWidth="1"/>
    <col min="4" max="4" width="8.453125" bestFit="1" customWidth="1"/>
    <col min="5" max="6" width="7.453125" bestFit="1" customWidth="1"/>
    <col min="8" max="8" width="25.08984375" bestFit="1" customWidth="1"/>
    <col min="9" max="13" width="15.36328125" bestFit="1" customWidth="1"/>
    <col min="15" max="15" width="35.81640625" bestFit="1" customWidth="1"/>
    <col min="16" max="18" width="14.6328125" bestFit="1" customWidth="1"/>
    <col min="19" max="19" width="15.36328125" bestFit="1" customWidth="1"/>
    <col min="20" max="20" width="14.6328125" bestFit="1" customWidth="1"/>
  </cols>
  <sheetData>
    <row r="1" spans="1:20" x14ac:dyDescent="0.4">
      <c r="A1" s="8" t="s">
        <v>78</v>
      </c>
      <c r="B1" s="5" t="s">
        <v>20</v>
      </c>
      <c r="C1" s="6" t="s">
        <v>14</v>
      </c>
      <c r="D1" s="7" t="s">
        <v>17</v>
      </c>
      <c r="E1" s="6" t="s">
        <v>18</v>
      </c>
      <c r="F1" s="7" t="s">
        <v>15</v>
      </c>
      <c r="H1" s="12" t="s">
        <v>82</v>
      </c>
      <c r="I1" s="5" t="s">
        <v>20</v>
      </c>
      <c r="J1" s="6" t="s">
        <v>14</v>
      </c>
      <c r="K1" s="7" t="s">
        <v>17</v>
      </c>
      <c r="L1" s="6" t="s">
        <v>18</v>
      </c>
      <c r="M1" s="7" t="s">
        <v>15</v>
      </c>
      <c r="O1" s="37" t="s">
        <v>95</v>
      </c>
      <c r="P1" s="5" t="s">
        <v>20</v>
      </c>
      <c r="Q1" s="6" t="s">
        <v>14</v>
      </c>
      <c r="R1" s="7" t="s">
        <v>17</v>
      </c>
      <c r="S1" s="6" t="s">
        <v>18</v>
      </c>
      <c r="T1" s="7" t="s">
        <v>15</v>
      </c>
    </row>
    <row r="2" spans="1:20" x14ac:dyDescent="0.4">
      <c r="A2" t="s">
        <v>77</v>
      </c>
      <c r="B2">
        <v>45.5</v>
      </c>
      <c r="C2">
        <v>593</v>
      </c>
      <c r="D2">
        <v>21.56</v>
      </c>
      <c r="E2">
        <v>37.17</v>
      </c>
      <c r="F2">
        <v>270</v>
      </c>
      <c r="H2" s="10" t="s">
        <v>83</v>
      </c>
      <c r="I2">
        <v>0</v>
      </c>
      <c r="J2">
        <v>0</v>
      </c>
      <c r="K2">
        <v>0</v>
      </c>
      <c r="L2">
        <v>0</v>
      </c>
      <c r="M2">
        <v>0</v>
      </c>
      <c r="O2" s="37" t="s">
        <v>96</v>
      </c>
      <c r="P2">
        <f>AVERAGE(I3:I57)</f>
        <v>1.2170815031838163E-3</v>
      </c>
      <c r="Q2">
        <f t="shared" ref="Q2:T2" si="0">AVERAGE(J3:J57)</f>
        <v>4.9603026704185798E-3</v>
      </c>
      <c r="R2">
        <f t="shared" si="0"/>
        <v>9.3682142630111594E-4</v>
      </c>
      <c r="S2">
        <f t="shared" si="0"/>
        <v>1.2703878268270487E-3</v>
      </c>
      <c r="T2">
        <f t="shared" si="0"/>
        <v>-2.3723118895409818E-4</v>
      </c>
    </row>
    <row r="3" spans="1:20" x14ac:dyDescent="0.4">
      <c r="A3" t="s">
        <v>76</v>
      </c>
      <c r="B3">
        <v>44.95</v>
      </c>
      <c r="C3">
        <v>578</v>
      </c>
      <c r="D3">
        <v>21.25</v>
      </c>
      <c r="E3">
        <v>36.68</v>
      </c>
      <c r="F3">
        <v>267</v>
      </c>
      <c r="I3" s="11">
        <f>LN(B3/B2)</f>
        <v>-1.2161565039275408E-2</v>
      </c>
      <c r="J3" s="11">
        <f t="shared" ref="J3:M3" si="1">LN(C3/C2)</f>
        <v>-2.5620530325347984E-2</v>
      </c>
      <c r="K3" s="11">
        <f t="shared" si="1"/>
        <v>-1.4482850670370457E-2</v>
      </c>
      <c r="L3" s="11">
        <f t="shared" si="1"/>
        <v>-1.3270336920896698E-2</v>
      </c>
      <c r="M3" s="11">
        <f t="shared" si="1"/>
        <v>-1.1173300598125189E-2</v>
      </c>
      <c r="O3" s="37" t="s">
        <v>97</v>
      </c>
      <c r="P3">
        <f>VAR(I3:I57)</f>
        <v>8.0238203443505531E-5</v>
      </c>
      <c r="Q3">
        <f t="shared" ref="Q3:T3" si="2">VAR(J3:J57)</f>
        <v>3.9306429418362667E-4</v>
      </c>
      <c r="R3">
        <f t="shared" si="2"/>
        <v>5.1483286801042755E-5</v>
      </c>
      <c r="S3">
        <f t="shared" si="2"/>
        <v>5.8513437471613162E-5</v>
      </c>
      <c r="T3">
        <f t="shared" si="2"/>
        <v>4.3520876765886676E-5</v>
      </c>
    </row>
    <row r="4" spans="1:20" ht="17" customHeight="1" x14ac:dyDescent="0.4">
      <c r="A4" t="s">
        <v>75</v>
      </c>
      <c r="B4">
        <v>44.7</v>
      </c>
      <c r="C4">
        <v>580</v>
      </c>
      <c r="D4">
        <v>21.21</v>
      </c>
      <c r="E4">
        <v>36.590000000000003</v>
      </c>
      <c r="F4">
        <v>267.5</v>
      </c>
      <c r="I4">
        <f t="shared" ref="I4:I57" si="3">LN(B4/B3)</f>
        <v>-5.5772592981061537E-3</v>
      </c>
      <c r="J4">
        <f t="shared" ref="J4:J57" si="4">LN(C4/C3)</f>
        <v>3.4542348680876036E-3</v>
      </c>
      <c r="K4">
        <f t="shared" ref="K4:K57" si="5">LN(D4/D3)</f>
        <v>-1.8841267938347322E-3</v>
      </c>
      <c r="L4">
        <f t="shared" ref="L4:L57" si="6">LN(E4/E3)</f>
        <v>-2.4566683571485147E-3</v>
      </c>
      <c r="M4">
        <f t="shared" ref="M4:M57" si="7">LN(F4/F3)</f>
        <v>1.8709079358116025E-3</v>
      </c>
      <c r="O4" s="37" t="s">
        <v>98</v>
      </c>
      <c r="P4">
        <f>STDEV(I3:I57)</f>
        <v>8.9575779898087137E-3</v>
      </c>
      <c r="Q4">
        <f t="shared" ref="Q4:T4" si="8">STDEV(J3:J57)</f>
        <v>1.9825849141553224E-2</v>
      </c>
      <c r="R4">
        <f t="shared" si="8"/>
        <v>7.175185488964223E-3</v>
      </c>
      <c r="S4">
        <f t="shared" si="8"/>
        <v>7.64940765495036E-3</v>
      </c>
      <c r="T4">
        <f t="shared" si="8"/>
        <v>6.5970354528292995E-3</v>
      </c>
    </row>
    <row r="5" spans="1:20" ht="17" customHeight="1" x14ac:dyDescent="0.4">
      <c r="A5" t="s">
        <v>74</v>
      </c>
      <c r="B5">
        <v>44.85</v>
      </c>
      <c r="C5">
        <v>576</v>
      </c>
      <c r="D5">
        <v>21.2</v>
      </c>
      <c r="E5">
        <v>36.549999999999997</v>
      </c>
      <c r="F5">
        <v>267.5</v>
      </c>
      <c r="I5">
        <f t="shared" si="3"/>
        <v>3.3500868852820269E-3</v>
      </c>
      <c r="J5">
        <f t="shared" si="4"/>
        <v>-6.9204428445737952E-3</v>
      </c>
      <c r="K5">
        <f t="shared" si="5"/>
        <v>-4.7158689862436369E-4</v>
      </c>
      <c r="L5">
        <f t="shared" si="6"/>
        <v>-1.0937928353281204E-3</v>
      </c>
      <c r="M5">
        <f t="shared" si="7"/>
        <v>0</v>
      </c>
      <c r="O5" s="37" t="s">
        <v>99</v>
      </c>
      <c r="P5">
        <f>STDEV(I3:I57) * SQRT(4)</f>
        <v>1.7915155979617427E-2</v>
      </c>
      <c r="Q5">
        <f t="shared" ref="Q5:T5" si="9">STDEV(J3:J57) * SQRT(4)</f>
        <v>3.9651698283106447E-2</v>
      </c>
      <c r="R5">
        <f t="shared" si="9"/>
        <v>1.4350370977928446E-2</v>
      </c>
      <c r="S5">
        <f t="shared" si="9"/>
        <v>1.529881530990072E-2</v>
      </c>
      <c r="T5">
        <f t="shared" si="9"/>
        <v>1.3194070905658599E-2</v>
      </c>
    </row>
    <row r="6" spans="1:20" ht="17" customHeight="1" x14ac:dyDescent="0.4">
      <c r="A6" t="s">
        <v>73</v>
      </c>
      <c r="B6">
        <v>45.1</v>
      </c>
      <c r="C6">
        <v>583</v>
      </c>
      <c r="D6">
        <v>21.27</v>
      </c>
      <c r="E6">
        <v>36.57</v>
      </c>
      <c r="F6">
        <v>268</v>
      </c>
      <c r="I6">
        <f t="shared" si="3"/>
        <v>5.558658003827462E-3</v>
      </c>
      <c r="J6">
        <f t="shared" si="4"/>
        <v>1.2079525654601041E-2</v>
      </c>
      <c r="K6">
        <f t="shared" si="5"/>
        <v>3.2964475341790253E-3</v>
      </c>
      <c r="L6">
        <f t="shared" si="6"/>
        <v>5.4704596550253222E-4</v>
      </c>
      <c r="M6">
        <f t="shared" si="7"/>
        <v>1.8674141747954624E-3</v>
      </c>
      <c r="O6" s="17"/>
    </row>
    <row r="7" spans="1:20" ht="17" customHeight="1" thickBot="1" x14ac:dyDescent="0.45">
      <c r="A7" t="s">
        <v>72</v>
      </c>
      <c r="B7">
        <v>44.75</v>
      </c>
      <c r="C7">
        <v>586</v>
      </c>
      <c r="D7">
        <v>21.25</v>
      </c>
      <c r="E7">
        <v>36.49</v>
      </c>
      <c r="F7">
        <v>269</v>
      </c>
      <c r="I7">
        <f t="shared" si="3"/>
        <v>-7.790801787768334E-3</v>
      </c>
      <c r="J7">
        <f t="shared" si="4"/>
        <v>5.1326032265202161E-3</v>
      </c>
      <c r="K7">
        <f t="shared" si="5"/>
        <v>-9.4073384171998507E-4</v>
      </c>
      <c r="L7">
        <f t="shared" si="6"/>
        <v>-2.18998171293354E-3</v>
      </c>
      <c r="M7">
        <f t="shared" si="7"/>
        <v>3.7243990909824939E-3</v>
      </c>
    </row>
    <row r="8" spans="1:20" ht="17" customHeight="1" thickTop="1" x14ac:dyDescent="0.4">
      <c r="A8" t="s">
        <v>71</v>
      </c>
      <c r="B8">
        <v>44.7</v>
      </c>
      <c r="C8">
        <v>584</v>
      </c>
      <c r="D8">
        <v>21.1</v>
      </c>
      <c r="E8">
        <v>36.24</v>
      </c>
      <c r="F8">
        <v>268</v>
      </c>
      <c r="I8">
        <f t="shared" si="3"/>
        <v>-1.1179431013411721E-3</v>
      </c>
      <c r="J8">
        <f t="shared" si="4"/>
        <v>-3.418806748785609E-3</v>
      </c>
      <c r="K8">
        <f t="shared" si="5"/>
        <v>-7.0838548884049318E-3</v>
      </c>
      <c r="L8">
        <f t="shared" si="6"/>
        <v>-6.8747692735776859E-3</v>
      </c>
      <c r="M8">
        <f t="shared" si="7"/>
        <v>-3.7243990909824397E-3</v>
      </c>
      <c r="O8" s="83" t="s">
        <v>84</v>
      </c>
      <c r="P8" s="84" t="s">
        <v>20</v>
      </c>
      <c r="Q8" s="85" t="s">
        <v>14</v>
      </c>
      <c r="R8" s="86" t="s">
        <v>17</v>
      </c>
      <c r="S8" s="85" t="s">
        <v>18</v>
      </c>
      <c r="T8" s="87" t="s">
        <v>15</v>
      </c>
    </row>
    <row r="9" spans="1:20" ht="17" customHeight="1" x14ac:dyDescent="0.4">
      <c r="A9" t="s">
        <v>70</v>
      </c>
      <c r="B9">
        <v>44.6</v>
      </c>
      <c r="C9">
        <v>586</v>
      </c>
      <c r="D9">
        <v>21.21</v>
      </c>
      <c r="E9">
        <v>36.39</v>
      </c>
      <c r="F9">
        <v>270</v>
      </c>
      <c r="I9">
        <f t="shared" si="3"/>
        <v>-2.2396425935047983E-3</v>
      </c>
      <c r="J9">
        <f t="shared" si="4"/>
        <v>3.4188067487854611E-3</v>
      </c>
      <c r="K9">
        <f t="shared" si="5"/>
        <v>5.1997280945702664E-3</v>
      </c>
      <c r="L9">
        <f t="shared" si="6"/>
        <v>4.1305304492897568E-3</v>
      </c>
      <c r="M9">
        <f t="shared" si="7"/>
        <v>7.4349784875179905E-3</v>
      </c>
      <c r="O9" s="81" t="s">
        <v>20</v>
      </c>
      <c r="P9" cm="1">
        <f t="array" ref="P9:T13">VarCovar(I3:M57,P10:T14)</f>
        <v>7.8779327017259936E-5</v>
      </c>
      <c r="Q9">
        <v>4.4363228895678184E-5</v>
      </c>
      <c r="R9">
        <v>1.4368175253686063E-5</v>
      </c>
      <c r="S9">
        <v>1.6638413400394126E-5</v>
      </c>
      <c r="T9" s="88">
        <v>1.0620090948514685E-5</v>
      </c>
    </row>
    <row r="10" spans="1:20" x14ac:dyDescent="0.4">
      <c r="A10" t="s">
        <v>69</v>
      </c>
      <c r="B10">
        <v>44.5</v>
      </c>
      <c r="C10">
        <v>584</v>
      </c>
      <c r="D10">
        <v>21.19</v>
      </c>
      <c r="E10">
        <v>36.33</v>
      </c>
      <c r="F10">
        <v>268</v>
      </c>
      <c r="I10">
        <f t="shared" si="3"/>
        <v>-2.2446698538238618E-3</v>
      </c>
      <c r="J10">
        <f t="shared" si="4"/>
        <v>-3.418806748785609E-3</v>
      </c>
      <c r="K10">
        <f t="shared" si="5"/>
        <v>-9.4339629638337281E-4</v>
      </c>
      <c r="L10">
        <f t="shared" si="6"/>
        <v>-1.6501653909579068E-3</v>
      </c>
      <c r="M10">
        <f t="shared" si="7"/>
        <v>-7.4349784875180902E-3</v>
      </c>
      <c r="O10" s="82" t="s">
        <v>14</v>
      </c>
      <c r="P10">
        <v>4.4363228895678184E-5</v>
      </c>
      <c r="Q10">
        <v>3.8591767065301522E-4</v>
      </c>
      <c r="R10">
        <v>5.8660190798972031E-5</v>
      </c>
      <c r="S10">
        <v>4.470788746634924E-5</v>
      </c>
      <c r="T10" s="88">
        <v>3.5047787762649913E-6</v>
      </c>
    </row>
    <row r="11" spans="1:20" x14ac:dyDescent="0.4">
      <c r="A11" t="s">
        <v>68</v>
      </c>
      <c r="B11">
        <v>44.45</v>
      </c>
      <c r="C11">
        <v>586</v>
      </c>
      <c r="D11">
        <v>21.19</v>
      </c>
      <c r="E11">
        <v>36.42</v>
      </c>
      <c r="F11">
        <v>268</v>
      </c>
      <c r="I11">
        <f t="shared" si="3"/>
        <v>-1.1242272122808802E-3</v>
      </c>
      <c r="J11">
        <f t="shared" si="4"/>
        <v>3.4188067487854611E-3</v>
      </c>
      <c r="K11">
        <f t="shared" si="5"/>
        <v>0</v>
      </c>
      <c r="L11">
        <f t="shared" si="6"/>
        <v>2.4742280663515004E-3</v>
      </c>
      <c r="M11">
        <f t="shared" si="7"/>
        <v>0</v>
      </c>
      <c r="O11" s="82" t="s">
        <v>17</v>
      </c>
      <c r="P11">
        <v>1.4368175253686063E-5</v>
      </c>
      <c r="Q11">
        <v>5.8660190798972031E-5</v>
      </c>
      <c r="R11">
        <v>5.0547227041023781E-5</v>
      </c>
      <c r="S11">
        <v>4.0378263697229368E-5</v>
      </c>
      <c r="T11" s="88">
        <v>1.4346788377033875E-5</v>
      </c>
    </row>
    <row r="12" spans="1:20" x14ac:dyDescent="0.4">
      <c r="A12" t="s">
        <v>67</v>
      </c>
      <c r="B12">
        <v>44</v>
      </c>
      <c r="C12">
        <v>580</v>
      </c>
      <c r="D12">
        <v>21.07</v>
      </c>
      <c r="E12">
        <v>36.369999999999997</v>
      </c>
      <c r="F12">
        <v>265</v>
      </c>
      <c r="I12">
        <f t="shared" si="3"/>
        <v>-1.0175328041652451E-2</v>
      </c>
      <c r="J12">
        <f t="shared" si="4"/>
        <v>-1.0291686036547636E-2</v>
      </c>
      <c r="K12">
        <f t="shared" si="5"/>
        <v>-5.6791444641101068E-3</v>
      </c>
      <c r="L12">
        <f t="shared" si="6"/>
        <v>-1.37381530056439E-3</v>
      </c>
      <c r="M12">
        <f t="shared" si="7"/>
        <v>-1.1257154524634447E-2</v>
      </c>
      <c r="O12" s="82" t="s">
        <v>18</v>
      </c>
      <c r="P12">
        <v>1.6638413400394126E-5</v>
      </c>
      <c r="Q12">
        <v>4.470788746634924E-5</v>
      </c>
      <c r="R12">
        <v>4.0378263697229368E-5</v>
      </c>
      <c r="S12">
        <v>5.7449556790311162E-5</v>
      </c>
      <c r="T12" s="88">
        <v>1.0084100685507912E-5</v>
      </c>
    </row>
    <row r="13" spans="1:20" x14ac:dyDescent="0.4">
      <c r="A13" t="s">
        <v>66</v>
      </c>
      <c r="B13">
        <v>43.3</v>
      </c>
      <c r="C13">
        <v>581</v>
      </c>
      <c r="D13">
        <v>20.85</v>
      </c>
      <c r="E13">
        <v>35.19</v>
      </c>
      <c r="F13">
        <v>263</v>
      </c>
      <c r="I13">
        <f t="shared" si="3"/>
        <v>-1.6036998909817076E-2</v>
      </c>
      <c r="J13">
        <f t="shared" si="4"/>
        <v>1.722653311446156E-3</v>
      </c>
      <c r="K13">
        <f t="shared" si="5"/>
        <v>-1.0496279571287168E-2</v>
      </c>
      <c r="L13">
        <f t="shared" si="6"/>
        <v>-3.2982307665403894E-2</v>
      </c>
      <c r="M13">
        <f t="shared" si="7"/>
        <v>-7.5757938084576558E-3</v>
      </c>
      <c r="O13" s="82" t="s">
        <v>15</v>
      </c>
      <c r="P13">
        <v>1.0620090948514685E-5</v>
      </c>
      <c r="Q13">
        <v>3.5047787762649913E-6</v>
      </c>
      <c r="R13">
        <v>1.4346788377033875E-5</v>
      </c>
      <c r="S13">
        <v>1.0084100685507912E-5</v>
      </c>
      <c r="T13" s="88">
        <v>4.2729588097416032E-5</v>
      </c>
    </row>
    <row r="14" spans="1:20" ht="17.5" thickBot="1" x14ac:dyDescent="0.45">
      <c r="A14" t="s">
        <v>65</v>
      </c>
      <c r="B14">
        <v>43.3</v>
      </c>
      <c r="C14">
        <v>588</v>
      </c>
      <c r="D14">
        <v>20.83</v>
      </c>
      <c r="E14">
        <v>35.119999999999997</v>
      </c>
      <c r="F14">
        <v>264.5</v>
      </c>
      <c r="I14">
        <f t="shared" si="3"/>
        <v>0</v>
      </c>
      <c r="J14">
        <f t="shared" si="4"/>
        <v>1.197619104671562E-2</v>
      </c>
      <c r="K14">
        <f t="shared" si="5"/>
        <v>-9.5969297193002339E-4</v>
      </c>
      <c r="L14">
        <f t="shared" si="6"/>
        <v>-1.9911825665778976E-3</v>
      </c>
      <c r="M14">
        <f t="shared" si="7"/>
        <v>5.6872191205895144E-3</v>
      </c>
      <c r="O14" s="95" t="s">
        <v>87</v>
      </c>
      <c r="P14" s="96"/>
      <c r="Q14" s="96"/>
      <c r="R14" s="96"/>
      <c r="S14" s="96"/>
      <c r="T14" s="97"/>
    </row>
    <row r="15" spans="1:20" ht="17.5" thickTop="1" x14ac:dyDescent="0.4">
      <c r="A15" t="s">
        <v>64</v>
      </c>
      <c r="B15">
        <v>43.8</v>
      </c>
      <c r="C15">
        <v>626</v>
      </c>
      <c r="D15">
        <v>21.26</v>
      </c>
      <c r="E15">
        <v>35.65</v>
      </c>
      <c r="F15">
        <v>265</v>
      </c>
      <c r="I15">
        <f t="shared" si="3"/>
        <v>1.1481182373956232E-2</v>
      </c>
      <c r="J15">
        <f t="shared" si="4"/>
        <v>6.2623423201471573E-2</v>
      </c>
      <c r="K15">
        <f t="shared" si="5"/>
        <v>2.0433117640921407E-2</v>
      </c>
      <c r="L15">
        <f t="shared" si="6"/>
        <v>1.4978378093389168E-2</v>
      </c>
      <c r="M15">
        <f t="shared" si="7"/>
        <v>1.8885746878681546E-3</v>
      </c>
    </row>
    <row r="16" spans="1:20" x14ac:dyDescent="0.4">
      <c r="A16" t="s">
        <v>63</v>
      </c>
      <c r="B16">
        <v>43.85</v>
      </c>
      <c r="C16">
        <v>626</v>
      </c>
      <c r="D16">
        <v>21.64</v>
      </c>
      <c r="E16">
        <v>36.14</v>
      </c>
      <c r="F16">
        <v>264.5</v>
      </c>
      <c r="I16">
        <f t="shared" si="3"/>
        <v>1.1409014357916423E-3</v>
      </c>
      <c r="J16">
        <f t="shared" si="4"/>
        <v>0</v>
      </c>
      <c r="K16">
        <f t="shared" si="5"/>
        <v>1.7716081064478965E-2</v>
      </c>
      <c r="L16">
        <f t="shared" si="6"/>
        <v>1.365113830377754E-2</v>
      </c>
      <c r="M16">
        <f t="shared" si="7"/>
        <v>-1.8885746878681362E-3</v>
      </c>
    </row>
    <row r="17" spans="1:20" ht="17.5" thickBot="1" x14ac:dyDescent="0.45">
      <c r="A17" t="s">
        <v>62</v>
      </c>
      <c r="B17">
        <v>44.2</v>
      </c>
      <c r="C17">
        <v>628</v>
      </c>
      <c r="D17">
        <v>21.63</v>
      </c>
      <c r="E17">
        <v>36.200000000000003</v>
      </c>
      <c r="F17">
        <v>263.5</v>
      </c>
      <c r="I17">
        <f t="shared" si="3"/>
        <v>7.9500702654605234E-3</v>
      </c>
      <c r="J17">
        <f t="shared" si="4"/>
        <v>3.1897953681000808E-3</v>
      </c>
      <c r="K17">
        <f t="shared" si="5"/>
        <v>-4.6221401331343452E-4</v>
      </c>
      <c r="L17">
        <f t="shared" si="6"/>
        <v>1.6588336676429955E-3</v>
      </c>
      <c r="M17">
        <f t="shared" si="7"/>
        <v>-3.7878833169370917E-3</v>
      </c>
    </row>
    <row r="18" spans="1:20" ht="17.5" thickTop="1" x14ac:dyDescent="0.4">
      <c r="A18" t="s">
        <v>61</v>
      </c>
      <c r="B18">
        <v>44.2</v>
      </c>
      <c r="C18">
        <v>627</v>
      </c>
      <c r="D18">
        <v>21.64</v>
      </c>
      <c r="E18">
        <v>36.229999999999997</v>
      </c>
      <c r="F18">
        <v>264</v>
      </c>
      <c r="I18">
        <f t="shared" si="3"/>
        <v>0</v>
      </c>
      <c r="J18">
        <f t="shared" si="4"/>
        <v>-1.593625835278036E-3</v>
      </c>
      <c r="K18">
        <f t="shared" si="5"/>
        <v>4.6221401331344693E-4</v>
      </c>
      <c r="L18">
        <f t="shared" si="6"/>
        <v>8.2838607526022879E-4</v>
      </c>
      <c r="M18">
        <f t="shared" si="7"/>
        <v>1.8957351648991973E-3</v>
      </c>
      <c r="O18" s="83" t="s">
        <v>85</v>
      </c>
      <c r="P18" s="84" t="s">
        <v>20</v>
      </c>
      <c r="Q18" s="85" t="s">
        <v>14</v>
      </c>
      <c r="R18" s="86" t="s">
        <v>17</v>
      </c>
      <c r="S18" s="85" t="s">
        <v>18</v>
      </c>
      <c r="T18" s="87" t="s">
        <v>15</v>
      </c>
    </row>
    <row r="19" spans="1:20" x14ac:dyDescent="0.4">
      <c r="A19" t="s">
        <v>60</v>
      </c>
      <c r="B19">
        <v>44.35</v>
      </c>
      <c r="C19">
        <v>642</v>
      </c>
      <c r="D19">
        <v>21.69</v>
      </c>
      <c r="E19">
        <v>36.29</v>
      </c>
      <c r="F19">
        <v>266.5</v>
      </c>
      <c r="I19">
        <f t="shared" si="3"/>
        <v>3.3879196719360434E-3</v>
      </c>
      <c r="J19">
        <f t="shared" si="4"/>
        <v>2.3641763057040494E-2</v>
      </c>
      <c r="K19">
        <f t="shared" si="5"/>
        <v>2.3078708605022116E-3</v>
      </c>
      <c r="L19">
        <f t="shared" si="6"/>
        <v>1.6547163179930946E-3</v>
      </c>
      <c r="M19">
        <f t="shared" si="7"/>
        <v>9.4251404595831131E-3</v>
      </c>
      <c r="O19" s="81" t="s">
        <v>20</v>
      </c>
      <c r="P19" cm="1">
        <f t="array" ref="P19:T23">Cor_Matrix(I3:M57,P20:T24)</f>
        <v>1</v>
      </c>
      <c r="Q19">
        <v>0.25443079932477353</v>
      </c>
      <c r="R19">
        <v>0.22769149859813864</v>
      </c>
      <c r="S19">
        <v>0.24732182135771652</v>
      </c>
      <c r="T19" s="88">
        <v>0.18304494910395158</v>
      </c>
    </row>
    <row r="20" spans="1:20" ht="17" customHeight="1" x14ac:dyDescent="0.4">
      <c r="A20" t="s">
        <v>59</v>
      </c>
      <c r="B20">
        <v>44.5</v>
      </c>
      <c r="C20">
        <v>644</v>
      </c>
      <c r="D20">
        <v>21.52</v>
      </c>
      <c r="E20">
        <v>36.07</v>
      </c>
      <c r="F20">
        <v>265</v>
      </c>
      <c r="I20">
        <f t="shared" si="3"/>
        <v>3.3764804166060906E-3</v>
      </c>
      <c r="J20">
        <f t="shared" si="4"/>
        <v>3.1104224143923302E-3</v>
      </c>
      <c r="K20">
        <f t="shared" si="5"/>
        <v>-7.8685895451994278E-3</v>
      </c>
      <c r="L20">
        <f t="shared" si="6"/>
        <v>-6.0807263095312815E-3</v>
      </c>
      <c r="M20">
        <f t="shared" si="7"/>
        <v>-5.6444176196770697E-3</v>
      </c>
      <c r="O20" s="82" t="s">
        <v>14</v>
      </c>
      <c r="P20">
        <v>0.25443079932477353</v>
      </c>
      <c r="Q20">
        <v>1</v>
      </c>
      <c r="R20">
        <v>0.41999824047656986</v>
      </c>
      <c r="S20">
        <v>0.30025723117429598</v>
      </c>
      <c r="T20" s="88">
        <v>2.7292852282616402E-2</v>
      </c>
    </row>
    <row r="21" spans="1:20" ht="17" customHeight="1" x14ac:dyDescent="0.4">
      <c r="A21" t="s">
        <v>58</v>
      </c>
      <c r="B21">
        <v>44.4</v>
      </c>
      <c r="C21">
        <v>648</v>
      </c>
      <c r="D21">
        <v>21.67</v>
      </c>
      <c r="E21">
        <v>36.28</v>
      </c>
      <c r="F21">
        <v>264.5</v>
      </c>
      <c r="I21">
        <f t="shared" si="3"/>
        <v>-2.2497197340154416E-3</v>
      </c>
      <c r="J21">
        <f t="shared" si="4"/>
        <v>6.1919702479209804E-3</v>
      </c>
      <c r="K21">
        <f t="shared" si="5"/>
        <v>6.9460802546840528E-3</v>
      </c>
      <c r="L21">
        <f t="shared" si="6"/>
        <v>5.8051303314883554E-3</v>
      </c>
      <c r="M21">
        <f t="shared" si="7"/>
        <v>-1.8885746878681362E-3</v>
      </c>
      <c r="O21" s="82" t="s">
        <v>17</v>
      </c>
      <c r="P21">
        <v>0.22769149859813864</v>
      </c>
      <c r="Q21">
        <v>0.41999824047656986</v>
      </c>
      <c r="R21">
        <v>1.0000000000000002</v>
      </c>
      <c r="S21">
        <v>0.74929982437547993</v>
      </c>
      <c r="T21" s="88">
        <v>0.30870358374352996</v>
      </c>
    </row>
    <row r="22" spans="1:20" ht="17" customHeight="1" x14ac:dyDescent="0.4">
      <c r="A22" t="s">
        <v>57</v>
      </c>
      <c r="B22">
        <v>43.9</v>
      </c>
      <c r="C22">
        <v>642</v>
      </c>
      <c r="D22">
        <v>21.7</v>
      </c>
      <c r="E22">
        <v>36.36</v>
      </c>
      <c r="F22">
        <v>263.5</v>
      </c>
      <c r="I22">
        <f t="shared" si="3"/>
        <v>-1.13251493570534E-2</v>
      </c>
      <c r="J22">
        <f t="shared" si="4"/>
        <v>-9.3023926623135612E-3</v>
      </c>
      <c r="K22">
        <f t="shared" si="5"/>
        <v>1.383444998146138E-3</v>
      </c>
      <c r="L22">
        <f t="shared" si="6"/>
        <v>2.2026440623420965E-3</v>
      </c>
      <c r="M22">
        <f t="shared" si="7"/>
        <v>-3.7878833169370917E-3</v>
      </c>
      <c r="O22" s="82" t="s">
        <v>18</v>
      </c>
      <c r="P22">
        <v>0.24732182135771652</v>
      </c>
      <c r="Q22">
        <v>0.30025723117429598</v>
      </c>
      <c r="R22">
        <v>0.74929982437547993</v>
      </c>
      <c r="S22">
        <v>1.0000000000000002</v>
      </c>
      <c r="T22" s="88">
        <v>0.20353049030759793</v>
      </c>
    </row>
    <row r="23" spans="1:20" ht="17" customHeight="1" x14ac:dyDescent="0.4">
      <c r="A23" t="s">
        <v>56</v>
      </c>
      <c r="B23">
        <v>44.15</v>
      </c>
      <c r="C23">
        <v>628</v>
      </c>
      <c r="D23">
        <v>21.63</v>
      </c>
      <c r="E23">
        <v>36.200000000000003</v>
      </c>
      <c r="F23">
        <v>264</v>
      </c>
      <c r="I23">
        <f t="shared" si="3"/>
        <v>5.678606968843293E-3</v>
      </c>
      <c r="J23">
        <f t="shared" si="4"/>
        <v>-2.20481372217625E-2</v>
      </c>
      <c r="K23">
        <f t="shared" si="5"/>
        <v>-3.2310205814465318E-3</v>
      </c>
      <c r="L23">
        <f t="shared" si="6"/>
        <v>-4.4101504775526171E-3</v>
      </c>
      <c r="M23">
        <f t="shared" si="7"/>
        <v>1.8957351648991973E-3</v>
      </c>
      <c r="O23" s="82" t="s">
        <v>15</v>
      </c>
      <c r="P23">
        <v>0.18304494910395158</v>
      </c>
      <c r="Q23">
        <v>2.7292852282616402E-2</v>
      </c>
      <c r="R23">
        <v>0.30870358374352996</v>
      </c>
      <c r="S23">
        <v>0.20353049030759793</v>
      </c>
      <c r="T23" s="88">
        <v>1.0000000000000002</v>
      </c>
    </row>
    <row r="24" spans="1:20" ht="17" customHeight="1" thickBot="1" x14ac:dyDescent="0.45">
      <c r="A24" t="s">
        <v>55</v>
      </c>
      <c r="B24">
        <v>44.45</v>
      </c>
      <c r="C24">
        <v>628</v>
      </c>
      <c r="D24">
        <v>21.71</v>
      </c>
      <c r="E24">
        <v>36.299999999999997</v>
      </c>
      <c r="F24">
        <v>270</v>
      </c>
      <c r="I24">
        <f t="shared" si="3"/>
        <v>6.7720349099446853E-3</v>
      </c>
      <c r="J24">
        <f t="shared" si="4"/>
        <v>0</v>
      </c>
      <c r="K24">
        <f t="shared" si="5"/>
        <v>3.691743925233222E-3</v>
      </c>
      <c r="L24">
        <f t="shared" si="6"/>
        <v>2.7586224390796607E-3</v>
      </c>
      <c r="M24">
        <f t="shared" si="7"/>
        <v>2.2472855852058576E-2</v>
      </c>
      <c r="O24" s="95" t="s">
        <v>88</v>
      </c>
      <c r="P24" s="96"/>
      <c r="Q24" s="96"/>
      <c r="R24" s="96"/>
      <c r="S24" s="96"/>
      <c r="T24" s="97"/>
    </row>
    <row r="25" spans="1:20" ht="17" customHeight="1" thickTop="1" x14ac:dyDescent="0.4">
      <c r="A25" t="s">
        <v>54</v>
      </c>
      <c r="B25">
        <v>44.1</v>
      </c>
      <c r="C25">
        <v>635</v>
      </c>
      <c r="D25">
        <v>21.85</v>
      </c>
      <c r="E25">
        <v>36.450000000000003</v>
      </c>
      <c r="F25">
        <v>270</v>
      </c>
      <c r="I25">
        <f t="shared" si="3"/>
        <v>-7.9051795071132611E-3</v>
      </c>
      <c r="J25">
        <f t="shared" si="4"/>
        <v>1.1084832424492914E-2</v>
      </c>
      <c r="K25">
        <f t="shared" si="5"/>
        <v>6.4279376513987838E-3</v>
      </c>
      <c r="L25">
        <f t="shared" si="6"/>
        <v>4.1237171838621562E-3</v>
      </c>
      <c r="M25">
        <f t="shared" si="7"/>
        <v>0</v>
      </c>
      <c r="O25" s="14"/>
    </row>
    <row r="26" spans="1:20" ht="21.5" x14ac:dyDescent="0.4">
      <c r="A26" t="s">
        <v>53</v>
      </c>
      <c r="B26">
        <v>43.9</v>
      </c>
      <c r="C26">
        <v>646</v>
      </c>
      <c r="D26">
        <v>21.89</v>
      </c>
      <c r="E26">
        <v>36.450000000000003</v>
      </c>
      <c r="F26">
        <v>267</v>
      </c>
      <c r="I26">
        <f t="shared" si="3"/>
        <v>-4.5454623716747224E-3</v>
      </c>
      <c r="J26">
        <f t="shared" si="4"/>
        <v>1.7174504889910215E-2</v>
      </c>
      <c r="K26">
        <f t="shared" si="5"/>
        <v>1.8289899931722752E-3</v>
      </c>
      <c r="L26">
        <f t="shared" si="6"/>
        <v>0</v>
      </c>
      <c r="M26">
        <f t="shared" si="7"/>
        <v>-1.1173300598125189E-2</v>
      </c>
      <c r="O26" s="14"/>
    </row>
    <row r="27" spans="1:20" ht="22" thickBot="1" x14ac:dyDescent="0.45">
      <c r="A27" t="s">
        <v>52</v>
      </c>
      <c r="B27">
        <v>44.05</v>
      </c>
      <c r="C27">
        <v>697</v>
      </c>
      <c r="D27">
        <v>22.2</v>
      </c>
      <c r="E27">
        <v>36.86</v>
      </c>
      <c r="F27">
        <v>265.5</v>
      </c>
      <c r="I27">
        <f t="shared" si="3"/>
        <v>3.4110323010629008E-3</v>
      </c>
      <c r="J27">
        <f t="shared" si="4"/>
        <v>7.5985906977922055E-2</v>
      </c>
      <c r="K27">
        <f t="shared" si="5"/>
        <v>1.4062377343462201E-2</v>
      </c>
      <c r="L27">
        <f t="shared" si="6"/>
        <v>1.1185493787009894E-2</v>
      </c>
      <c r="M27">
        <f t="shared" si="7"/>
        <v>-5.6338177182560199E-3</v>
      </c>
      <c r="O27" s="14"/>
    </row>
    <row r="28" spans="1:20" ht="17.5" thickTop="1" x14ac:dyDescent="0.4">
      <c r="A28" t="s">
        <v>51</v>
      </c>
      <c r="B28">
        <v>44.55</v>
      </c>
      <c r="C28">
        <v>683</v>
      </c>
      <c r="D28">
        <v>22.31</v>
      </c>
      <c r="E28">
        <v>37.07</v>
      </c>
      <c r="F28">
        <v>265</v>
      </c>
      <c r="I28">
        <f t="shared" si="3"/>
        <v>1.1286801534629855E-2</v>
      </c>
      <c r="J28">
        <f t="shared" si="4"/>
        <v>-2.0290551189733871E-2</v>
      </c>
      <c r="K28">
        <f t="shared" si="5"/>
        <v>4.9427195662074437E-3</v>
      </c>
      <c r="L28">
        <f t="shared" si="6"/>
        <v>5.6810649209636105E-3</v>
      </c>
      <c r="M28">
        <f t="shared" si="7"/>
        <v>-1.885014695771335E-3</v>
      </c>
      <c r="O28" s="83" t="s">
        <v>86</v>
      </c>
      <c r="P28" s="84" t="s">
        <v>20</v>
      </c>
      <c r="Q28" s="85" t="s">
        <v>14</v>
      </c>
      <c r="R28" s="86" t="s">
        <v>17</v>
      </c>
      <c r="S28" s="85" t="s">
        <v>18</v>
      </c>
      <c r="T28" s="87" t="s">
        <v>15</v>
      </c>
    </row>
    <row r="29" spans="1:20" x14ac:dyDescent="0.4">
      <c r="A29" t="s">
        <v>50</v>
      </c>
      <c r="B29">
        <v>45</v>
      </c>
      <c r="C29">
        <v>678</v>
      </c>
      <c r="D29">
        <v>22.3</v>
      </c>
      <c r="E29">
        <v>37.14</v>
      </c>
      <c r="F29">
        <v>268</v>
      </c>
      <c r="I29">
        <f t="shared" si="3"/>
        <v>1.0050335853501506E-2</v>
      </c>
      <c r="J29">
        <f t="shared" si="4"/>
        <v>-7.347571630394522E-3</v>
      </c>
      <c r="K29">
        <f t="shared" si="5"/>
        <v>-4.4832997836793828E-4</v>
      </c>
      <c r="L29">
        <f t="shared" si="6"/>
        <v>1.8865387619187888E-3</v>
      </c>
      <c r="M29">
        <f t="shared" si="7"/>
        <v>1.1257154524634468E-2</v>
      </c>
      <c r="O29" s="81" t="s">
        <v>20</v>
      </c>
      <c r="P29" cm="1">
        <f t="array" ref="P29:T33">CholeskyDecompose(_xlfn.ANCHORARRAY(P19))</f>
        <v>1</v>
      </c>
      <c r="Q29">
        <v>0</v>
      </c>
      <c r="R29">
        <v>0</v>
      </c>
      <c r="S29">
        <v>0</v>
      </c>
      <c r="T29" s="88">
        <v>0</v>
      </c>
    </row>
    <row r="30" spans="1:20" x14ac:dyDescent="0.4">
      <c r="A30" t="s">
        <v>49</v>
      </c>
      <c r="B30">
        <v>45.1</v>
      </c>
      <c r="C30">
        <v>687</v>
      </c>
      <c r="D30">
        <v>22.4</v>
      </c>
      <c r="E30">
        <v>37.39</v>
      </c>
      <c r="F30">
        <v>270</v>
      </c>
      <c r="I30">
        <f t="shared" si="3"/>
        <v>2.2197567383130316E-3</v>
      </c>
      <c r="J30">
        <f t="shared" si="4"/>
        <v>1.3187004281953681E-2</v>
      </c>
      <c r="K30">
        <f t="shared" si="5"/>
        <v>4.4742803949211069E-3</v>
      </c>
      <c r="L30">
        <f t="shared" si="6"/>
        <v>6.708733064462586E-3</v>
      </c>
      <c r="M30">
        <f t="shared" si="7"/>
        <v>7.4349784875179905E-3</v>
      </c>
      <c r="O30" s="82" t="s">
        <v>14</v>
      </c>
      <c r="P30">
        <v>0.25443079932477353</v>
      </c>
      <c r="Q30">
        <v>0.96709098245974612</v>
      </c>
      <c r="R30">
        <v>0</v>
      </c>
      <c r="S30">
        <v>0</v>
      </c>
      <c r="T30" s="88">
        <v>0</v>
      </c>
    </row>
    <row r="31" spans="1:20" x14ac:dyDescent="0.4">
      <c r="A31" t="s">
        <v>48</v>
      </c>
      <c r="B31">
        <v>44.75</v>
      </c>
      <c r="C31">
        <v>681</v>
      </c>
      <c r="D31">
        <v>22.29</v>
      </c>
      <c r="E31">
        <v>37.29</v>
      </c>
      <c r="F31">
        <v>270.5</v>
      </c>
      <c r="I31">
        <f t="shared" si="3"/>
        <v>-7.790801787768334E-3</v>
      </c>
      <c r="J31">
        <f t="shared" si="4"/>
        <v>-8.7719860728369941E-3</v>
      </c>
      <c r="K31">
        <f t="shared" si="5"/>
        <v>-4.9228114632166066E-3</v>
      </c>
      <c r="L31">
        <f t="shared" si="6"/>
        <v>-2.678094798292922E-3</v>
      </c>
      <c r="M31">
        <f t="shared" si="7"/>
        <v>1.8501392881613734E-3</v>
      </c>
      <c r="O31" s="82" t="s">
        <v>17</v>
      </c>
      <c r="P31">
        <v>0.22769149859813864</v>
      </c>
      <c r="Q31">
        <v>0.37438722628546528</v>
      </c>
      <c r="R31">
        <v>0.89888307707977788</v>
      </c>
      <c r="S31">
        <v>0</v>
      </c>
      <c r="T31" s="88">
        <v>0</v>
      </c>
    </row>
    <row r="32" spans="1:20" x14ac:dyDescent="0.4">
      <c r="A32" t="s">
        <v>47</v>
      </c>
      <c r="B32">
        <v>44.9</v>
      </c>
      <c r="C32">
        <v>692</v>
      </c>
      <c r="D32">
        <v>22.41</v>
      </c>
      <c r="E32">
        <v>37.65</v>
      </c>
      <c r="F32">
        <v>268.5</v>
      </c>
      <c r="I32">
        <f t="shared" si="3"/>
        <v>3.346350027344173E-3</v>
      </c>
      <c r="J32">
        <f t="shared" si="4"/>
        <v>1.6023649468157104E-2</v>
      </c>
      <c r="K32">
        <f t="shared" si="5"/>
        <v>5.3691404150582314E-3</v>
      </c>
      <c r="L32">
        <f t="shared" si="6"/>
        <v>9.6077600551731628E-3</v>
      </c>
      <c r="M32">
        <f t="shared" si="7"/>
        <v>-7.4211843376168164E-3</v>
      </c>
      <c r="O32" s="82" t="s">
        <v>18</v>
      </c>
      <c r="P32">
        <v>0.24732182135771652</v>
      </c>
      <c r="Q32">
        <v>0.24540704729988724</v>
      </c>
      <c r="R32">
        <v>0.6687293373436819</v>
      </c>
      <c r="S32">
        <v>0.65681684752427971</v>
      </c>
      <c r="T32" s="88">
        <v>0</v>
      </c>
    </row>
    <row r="33" spans="1:20" x14ac:dyDescent="0.4">
      <c r="A33" t="s">
        <v>46</v>
      </c>
      <c r="B33">
        <v>44.45</v>
      </c>
      <c r="C33">
        <v>697</v>
      </c>
      <c r="D33">
        <v>22.46</v>
      </c>
      <c r="E33">
        <v>37.590000000000003</v>
      </c>
      <c r="F33">
        <v>270</v>
      </c>
      <c r="I33">
        <f t="shared" si="3"/>
        <v>-1.0072832788294957E-2</v>
      </c>
      <c r="J33">
        <f t="shared" si="4"/>
        <v>7.1994551428543286E-3</v>
      </c>
      <c r="K33">
        <f t="shared" si="5"/>
        <v>2.228661497461446E-3</v>
      </c>
      <c r="L33">
        <f t="shared" si="6"/>
        <v>-1.5948966698157803E-3</v>
      </c>
      <c r="M33">
        <f t="shared" si="7"/>
        <v>5.5710450494554295E-3</v>
      </c>
      <c r="O33" s="82" t="s">
        <v>15</v>
      </c>
      <c r="P33">
        <v>0.18304494910395158</v>
      </c>
      <c r="Q33">
        <v>-1.9935477405888198E-2</v>
      </c>
      <c r="R33">
        <v>0.30536718296403825</v>
      </c>
      <c r="S33">
        <v>-6.2507847222904506E-2</v>
      </c>
      <c r="T33" s="88">
        <v>0.93216992868912962</v>
      </c>
    </row>
    <row r="34" spans="1:20" ht="17.5" thickBot="1" x14ac:dyDescent="0.45">
      <c r="A34" t="s">
        <v>45</v>
      </c>
      <c r="B34">
        <v>44.3</v>
      </c>
      <c r="C34">
        <v>698</v>
      </c>
      <c r="D34">
        <v>22.41</v>
      </c>
      <c r="E34">
        <v>37.68</v>
      </c>
      <c r="F34">
        <v>270.5</v>
      </c>
      <c r="I34">
        <f t="shared" si="3"/>
        <v>-3.3802849088237518E-3</v>
      </c>
      <c r="J34">
        <f t="shared" si="4"/>
        <v>1.433692001848616E-3</v>
      </c>
      <c r="K34">
        <f t="shared" si="5"/>
        <v>-2.2286614974614764E-3</v>
      </c>
      <c r="L34">
        <f t="shared" si="6"/>
        <v>2.3913921320754842E-3</v>
      </c>
      <c r="M34">
        <f t="shared" si="7"/>
        <v>1.8501392881613734E-3</v>
      </c>
      <c r="O34" s="95" t="s">
        <v>89</v>
      </c>
      <c r="P34" s="96"/>
      <c r="Q34" s="96"/>
      <c r="R34" s="96"/>
      <c r="S34" s="96"/>
      <c r="T34" s="97"/>
    </row>
    <row r="35" spans="1:20" ht="17.5" thickTop="1" x14ac:dyDescent="0.4">
      <c r="A35" t="s">
        <v>44</v>
      </c>
      <c r="B35">
        <v>44.3</v>
      </c>
      <c r="C35">
        <v>698</v>
      </c>
      <c r="D35">
        <v>21.85</v>
      </c>
      <c r="E35">
        <v>37.51</v>
      </c>
      <c r="F35">
        <v>268</v>
      </c>
      <c r="I35">
        <f t="shared" si="3"/>
        <v>0</v>
      </c>
      <c r="J35">
        <f t="shared" si="4"/>
        <v>0</v>
      </c>
      <c r="K35">
        <f t="shared" si="5"/>
        <v>-2.5306366271236374E-2</v>
      </c>
      <c r="L35">
        <f t="shared" si="6"/>
        <v>-4.5218856143664256E-3</v>
      </c>
      <c r="M35">
        <f t="shared" si="7"/>
        <v>-9.2851177756795404E-3</v>
      </c>
    </row>
    <row r="36" spans="1:20" ht="17" customHeight="1" x14ac:dyDescent="0.4">
      <c r="A36" t="s">
        <v>43</v>
      </c>
      <c r="B36">
        <v>45.05</v>
      </c>
      <c r="C36">
        <v>690</v>
      </c>
      <c r="D36">
        <v>21.99</v>
      </c>
      <c r="E36">
        <v>37.700000000000003</v>
      </c>
      <c r="F36">
        <v>269.5</v>
      </c>
      <c r="I36">
        <f t="shared" si="3"/>
        <v>1.6788307003257046E-2</v>
      </c>
      <c r="J36">
        <f t="shared" si="4"/>
        <v>-1.1527505171067383E-2</v>
      </c>
      <c r="K36">
        <f t="shared" si="5"/>
        <v>6.386883025070505E-3</v>
      </c>
      <c r="L36">
        <f t="shared" si="6"/>
        <v>5.0525303601691891E-3</v>
      </c>
      <c r="M36">
        <f t="shared" si="7"/>
        <v>5.5814098381952656E-3</v>
      </c>
      <c r="O36" s="14"/>
      <c r="P36" s="13"/>
      <c r="Q36" s="13"/>
      <c r="R36" s="13"/>
      <c r="S36" s="13"/>
      <c r="T36" s="13"/>
    </row>
    <row r="37" spans="1:20" ht="17" customHeight="1" x14ac:dyDescent="0.4">
      <c r="A37" t="s">
        <v>42</v>
      </c>
      <c r="B37">
        <v>44.65</v>
      </c>
      <c r="C37">
        <v>689</v>
      </c>
      <c r="D37">
        <v>22.03</v>
      </c>
      <c r="E37">
        <v>37.74</v>
      </c>
      <c r="F37">
        <v>270.5</v>
      </c>
      <c r="I37">
        <f t="shared" si="3"/>
        <v>-8.918676731838859E-3</v>
      </c>
      <c r="J37">
        <f t="shared" si="4"/>
        <v>-1.4503265776465246E-3</v>
      </c>
      <c r="K37">
        <f t="shared" si="5"/>
        <v>1.8173562475820625E-3</v>
      </c>
      <c r="L37">
        <f t="shared" si="6"/>
        <v>1.0604454864390973E-3</v>
      </c>
      <c r="M37">
        <f t="shared" si="7"/>
        <v>3.7037079374844318E-3</v>
      </c>
      <c r="O37" s="14"/>
    </row>
    <row r="38" spans="1:20" ht="17" customHeight="1" x14ac:dyDescent="0.4">
      <c r="A38" t="s">
        <v>41</v>
      </c>
      <c r="B38">
        <v>44.65</v>
      </c>
      <c r="C38">
        <v>725</v>
      </c>
      <c r="D38">
        <v>22.07</v>
      </c>
      <c r="E38">
        <v>38</v>
      </c>
      <c r="F38">
        <v>269</v>
      </c>
      <c r="I38">
        <f t="shared" si="3"/>
        <v>0</v>
      </c>
      <c r="J38">
        <f t="shared" si="4"/>
        <v>5.0930383841016294E-2</v>
      </c>
      <c r="K38">
        <f t="shared" si="5"/>
        <v>1.8140594543932759E-3</v>
      </c>
      <c r="L38">
        <f t="shared" si="6"/>
        <v>6.8656197859815159E-3</v>
      </c>
      <c r="M38">
        <f t="shared" si="7"/>
        <v>-5.5607186846970648E-3</v>
      </c>
      <c r="O38" s="14"/>
    </row>
    <row r="39" spans="1:20" ht="17" customHeight="1" x14ac:dyDescent="0.4">
      <c r="A39" t="s">
        <v>40</v>
      </c>
      <c r="B39">
        <v>44.65</v>
      </c>
      <c r="C39">
        <v>730</v>
      </c>
      <c r="D39">
        <v>22.17</v>
      </c>
      <c r="E39">
        <v>38.159999999999997</v>
      </c>
      <c r="F39">
        <v>268.5</v>
      </c>
      <c r="I39">
        <f t="shared" si="3"/>
        <v>0</v>
      </c>
      <c r="J39">
        <f t="shared" si="4"/>
        <v>6.8728792877620504E-3</v>
      </c>
      <c r="K39">
        <f t="shared" si="5"/>
        <v>4.5208033595751209E-3</v>
      </c>
      <c r="L39">
        <f t="shared" si="6"/>
        <v>4.2016868536999766E-3</v>
      </c>
      <c r="M39">
        <f t="shared" si="7"/>
        <v>-1.8604656529196783E-3</v>
      </c>
      <c r="O39" s="14"/>
    </row>
    <row r="40" spans="1:20" ht="17" customHeight="1" x14ac:dyDescent="0.4">
      <c r="A40" t="s">
        <v>39</v>
      </c>
      <c r="B40">
        <v>44.55</v>
      </c>
      <c r="C40">
        <v>735</v>
      </c>
      <c r="D40">
        <v>22.29</v>
      </c>
      <c r="E40">
        <v>38.53</v>
      </c>
      <c r="F40">
        <v>270</v>
      </c>
      <c r="I40">
        <f t="shared" si="3"/>
        <v>-2.2421534056897229E-3</v>
      </c>
      <c r="J40">
        <f t="shared" si="4"/>
        <v>6.8259650703998906E-3</v>
      </c>
      <c r="K40">
        <f t="shared" si="5"/>
        <v>5.3981237695573097E-3</v>
      </c>
      <c r="L40">
        <f t="shared" si="6"/>
        <v>9.6493120579805407E-3</v>
      </c>
      <c r="M40">
        <f t="shared" si="7"/>
        <v>5.5710450494554295E-3</v>
      </c>
      <c r="O40" s="14"/>
    </row>
    <row r="41" spans="1:20" ht="17" customHeight="1" x14ac:dyDescent="0.4">
      <c r="A41" t="s">
        <v>38</v>
      </c>
      <c r="B41">
        <v>44.85</v>
      </c>
      <c r="C41">
        <v>760</v>
      </c>
      <c r="D41">
        <v>22.33</v>
      </c>
      <c r="E41">
        <v>38.68</v>
      </c>
      <c r="F41">
        <v>267</v>
      </c>
      <c r="I41">
        <f t="shared" si="3"/>
        <v>6.711434587986999E-3</v>
      </c>
      <c r="J41">
        <f t="shared" si="4"/>
        <v>3.3447934067540125E-2</v>
      </c>
      <c r="K41">
        <f t="shared" si="5"/>
        <v>1.7929184542890501E-3</v>
      </c>
      <c r="L41">
        <f t="shared" si="6"/>
        <v>3.8855119470272148E-3</v>
      </c>
      <c r="M41">
        <f t="shared" si="7"/>
        <v>-1.1173300598125189E-2</v>
      </c>
      <c r="O41" s="14"/>
    </row>
    <row r="42" spans="1:20" x14ac:dyDescent="0.4">
      <c r="A42" t="s">
        <v>37</v>
      </c>
      <c r="B42">
        <v>45.3</v>
      </c>
      <c r="C42">
        <v>784</v>
      </c>
      <c r="D42">
        <v>22.31</v>
      </c>
      <c r="E42">
        <v>38.450000000000003</v>
      </c>
      <c r="F42">
        <v>268.5</v>
      </c>
      <c r="I42">
        <f t="shared" si="3"/>
        <v>9.9834439841832052E-3</v>
      </c>
      <c r="J42">
        <f t="shared" si="4"/>
        <v>3.1090587070031182E-2</v>
      </c>
      <c r="K42">
        <f t="shared" si="5"/>
        <v>-8.9605740762535222E-4</v>
      </c>
      <c r="L42">
        <f t="shared" si="6"/>
        <v>-5.9639746334404914E-3</v>
      </c>
      <c r="M42">
        <f t="shared" si="7"/>
        <v>5.6022555486697516E-3</v>
      </c>
    </row>
    <row r="43" spans="1:20" x14ac:dyDescent="0.4">
      <c r="A43" t="s">
        <v>36</v>
      </c>
      <c r="B43">
        <v>46.05</v>
      </c>
      <c r="C43">
        <v>766</v>
      </c>
      <c r="D43">
        <v>22.34</v>
      </c>
      <c r="E43">
        <v>38.43</v>
      </c>
      <c r="F43">
        <v>268</v>
      </c>
      <c r="I43">
        <f t="shared" si="3"/>
        <v>1.642073021232749E-2</v>
      </c>
      <c r="J43">
        <f t="shared" si="4"/>
        <v>-2.3226850609816545E-2</v>
      </c>
      <c r="K43">
        <f t="shared" si="5"/>
        <v>1.3437851966136643E-3</v>
      </c>
      <c r="L43">
        <f t="shared" si="6"/>
        <v>-5.2029137490047024E-4</v>
      </c>
      <c r="M43">
        <f t="shared" si="7"/>
        <v>-1.8639334380627533E-3</v>
      </c>
    </row>
    <row r="44" spans="1:20" x14ac:dyDescent="0.4">
      <c r="A44" t="s">
        <v>35</v>
      </c>
      <c r="B44">
        <v>46.5</v>
      </c>
      <c r="C44">
        <v>770</v>
      </c>
      <c r="D44">
        <v>22.55</v>
      </c>
      <c r="E44">
        <v>38.99</v>
      </c>
      <c r="F44">
        <v>267.5</v>
      </c>
      <c r="I44">
        <f t="shared" si="3"/>
        <v>9.7245498919947809E-3</v>
      </c>
      <c r="J44">
        <f t="shared" si="4"/>
        <v>5.2083451071382597E-3</v>
      </c>
      <c r="K44">
        <f t="shared" si="5"/>
        <v>9.3562723076327931E-3</v>
      </c>
      <c r="L44">
        <f t="shared" si="6"/>
        <v>1.4466798417753479E-2</v>
      </c>
      <c r="M44">
        <f t="shared" si="7"/>
        <v>-1.8674141747954732E-3</v>
      </c>
    </row>
    <row r="45" spans="1:20" x14ac:dyDescent="0.4">
      <c r="A45" t="s">
        <v>34</v>
      </c>
      <c r="B45">
        <v>46.8</v>
      </c>
      <c r="C45">
        <v>779</v>
      </c>
      <c r="D45">
        <v>22.52</v>
      </c>
      <c r="E45">
        <v>39.08</v>
      </c>
      <c r="F45">
        <v>268</v>
      </c>
      <c r="I45">
        <f t="shared" si="3"/>
        <v>6.4308903302903314E-3</v>
      </c>
      <c r="J45">
        <f t="shared" si="4"/>
        <v>1.162053102301879E-2</v>
      </c>
      <c r="K45">
        <f t="shared" si="5"/>
        <v>-1.3312626771977329E-3</v>
      </c>
      <c r="L45">
        <f t="shared" si="6"/>
        <v>2.305624180076044E-3</v>
      </c>
      <c r="M45">
        <f t="shared" si="7"/>
        <v>1.8674141747954624E-3</v>
      </c>
    </row>
    <row r="46" spans="1:20" x14ac:dyDescent="0.4">
      <c r="A46" t="s">
        <v>33</v>
      </c>
      <c r="B46">
        <v>48.3</v>
      </c>
      <c r="C46">
        <v>784</v>
      </c>
      <c r="D46">
        <v>22.3</v>
      </c>
      <c r="E46">
        <v>38.72</v>
      </c>
      <c r="F46">
        <v>267.5</v>
      </c>
      <c r="I46">
        <f t="shared" si="3"/>
        <v>3.1548357734926057E-2</v>
      </c>
      <c r="J46">
        <f t="shared" si="4"/>
        <v>6.3979744796596365E-3</v>
      </c>
      <c r="K46">
        <f t="shared" si="5"/>
        <v>-9.8171248054164731E-3</v>
      </c>
      <c r="L46">
        <f t="shared" si="6"/>
        <v>-9.2545647662057497E-3</v>
      </c>
      <c r="M46">
        <f t="shared" si="7"/>
        <v>-1.8674141747954732E-3</v>
      </c>
    </row>
    <row r="47" spans="1:20" x14ac:dyDescent="0.4">
      <c r="A47" t="s">
        <v>32</v>
      </c>
      <c r="B47">
        <v>47.65</v>
      </c>
      <c r="C47">
        <v>753</v>
      </c>
      <c r="D47">
        <v>22.38</v>
      </c>
      <c r="E47">
        <v>39.020000000000003</v>
      </c>
      <c r="F47">
        <v>267.5</v>
      </c>
      <c r="I47">
        <f t="shared" si="3"/>
        <v>-1.3548930558315816E-2</v>
      </c>
      <c r="J47">
        <f t="shared" si="4"/>
        <v>-4.0343792550514269E-2</v>
      </c>
      <c r="K47">
        <f t="shared" si="5"/>
        <v>3.5810244177060212E-3</v>
      </c>
      <c r="L47">
        <f t="shared" si="6"/>
        <v>7.7180727865889835E-3</v>
      </c>
      <c r="M47">
        <f t="shared" si="7"/>
        <v>0</v>
      </c>
    </row>
    <row r="48" spans="1:20" x14ac:dyDescent="0.4">
      <c r="A48" t="s">
        <v>31</v>
      </c>
      <c r="B48">
        <v>47.55</v>
      </c>
      <c r="C48">
        <v>764</v>
      </c>
      <c r="D48">
        <v>22.37</v>
      </c>
      <c r="E48">
        <v>39.36</v>
      </c>
      <c r="F48">
        <v>268.5</v>
      </c>
      <c r="I48">
        <f t="shared" si="3"/>
        <v>-2.1008411088118389E-3</v>
      </c>
      <c r="J48">
        <f t="shared" si="4"/>
        <v>1.4502561366626901E-2</v>
      </c>
      <c r="K48">
        <f t="shared" si="5"/>
        <v>-4.4692738174089748E-4</v>
      </c>
      <c r="L48">
        <f t="shared" si="6"/>
        <v>8.6757369890873882E-3</v>
      </c>
      <c r="M48">
        <f t="shared" si="7"/>
        <v>3.7313476128581842E-3</v>
      </c>
    </row>
    <row r="49" spans="1:13" x14ac:dyDescent="0.4">
      <c r="A49" t="s">
        <v>30</v>
      </c>
      <c r="B49">
        <v>47.75</v>
      </c>
      <c r="C49">
        <v>762</v>
      </c>
      <c r="D49">
        <v>22.39</v>
      </c>
      <c r="E49">
        <v>39.700000000000003</v>
      </c>
      <c r="F49">
        <v>266</v>
      </c>
      <c r="I49">
        <f t="shared" si="3"/>
        <v>4.1972779353399159E-3</v>
      </c>
      <c r="J49">
        <f t="shared" si="4"/>
        <v>-2.6212334798741926E-3</v>
      </c>
      <c r="K49">
        <f t="shared" si="5"/>
        <v>8.936551086252693E-4</v>
      </c>
      <c r="L49">
        <f t="shared" si="6"/>
        <v>8.6011155090921915E-3</v>
      </c>
      <c r="M49">
        <f t="shared" si="7"/>
        <v>-9.3546051672203489E-3</v>
      </c>
    </row>
    <row r="50" spans="1:13" x14ac:dyDescent="0.4">
      <c r="A50" t="s">
        <v>29</v>
      </c>
      <c r="B50">
        <v>47.5</v>
      </c>
      <c r="C50">
        <v>758</v>
      </c>
      <c r="D50">
        <v>22.29</v>
      </c>
      <c r="E50">
        <v>39.630000000000003</v>
      </c>
      <c r="F50">
        <v>266</v>
      </c>
      <c r="I50">
        <f t="shared" si="3"/>
        <v>-5.2493558861436782E-3</v>
      </c>
      <c r="J50">
        <f t="shared" si="4"/>
        <v>-5.263170044274644E-3</v>
      </c>
      <c r="K50">
        <f t="shared" si="5"/>
        <v>-4.4762832128860891E-3</v>
      </c>
      <c r="L50">
        <f t="shared" si="6"/>
        <v>-1.7647804908010978E-3</v>
      </c>
      <c r="M50">
        <f t="shared" si="7"/>
        <v>0</v>
      </c>
    </row>
    <row r="51" spans="1:13" x14ac:dyDescent="0.4">
      <c r="A51" t="s">
        <v>28</v>
      </c>
      <c r="B51">
        <v>48.55</v>
      </c>
      <c r="C51">
        <v>784</v>
      </c>
      <c r="D51">
        <v>22.52</v>
      </c>
      <c r="E51">
        <v>39.93</v>
      </c>
      <c r="F51">
        <v>267.5</v>
      </c>
      <c r="I51">
        <f t="shared" si="3"/>
        <v>2.1864483696738286E-2</v>
      </c>
      <c r="J51">
        <f t="shared" si="4"/>
        <v>3.372563470803612E-2</v>
      </c>
      <c r="K51">
        <f t="shared" si="5"/>
        <v>1.0265655873712205E-2</v>
      </c>
      <c r="L51">
        <f t="shared" si="6"/>
        <v>7.5415138727863082E-3</v>
      </c>
      <c r="M51">
        <f t="shared" si="7"/>
        <v>5.6232575543622605E-3</v>
      </c>
    </row>
    <row r="52" spans="1:13" x14ac:dyDescent="0.4">
      <c r="A52" t="s">
        <v>27</v>
      </c>
      <c r="B52">
        <v>48.55</v>
      </c>
      <c r="C52">
        <v>785</v>
      </c>
      <c r="D52">
        <v>22.54</v>
      </c>
      <c r="E52">
        <v>39.799999999999997</v>
      </c>
      <c r="F52">
        <v>267.5</v>
      </c>
      <c r="I52">
        <f t="shared" si="3"/>
        <v>0</v>
      </c>
      <c r="J52">
        <f t="shared" si="4"/>
        <v>1.2746974320005163E-3</v>
      </c>
      <c r="K52">
        <f t="shared" si="5"/>
        <v>8.8770534014059183E-4</v>
      </c>
      <c r="L52">
        <f t="shared" si="6"/>
        <v>-3.2610087847379575E-3</v>
      </c>
      <c r="M52">
        <f t="shared" si="7"/>
        <v>0</v>
      </c>
    </row>
    <row r="53" spans="1:13" x14ac:dyDescent="0.4">
      <c r="A53" t="s">
        <v>26</v>
      </c>
      <c r="B53">
        <v>48.1</v>
      </c>
      <c r="C53">
        <v>780</v>
      </c>
      <c r="D53">
        <v>22.48</v>
      </c>
      <c r="E53">
        <v>39.619999999999997</v>
      </c>
      <c r="F53">
        <v>267.5</v>
      </c>
      <c r="I53">
        <f t="shared" si="3"/>
        <v>-9.3120176256183598E-3</v>
      </c>
      <c r="J53">
        <f t="shared" si="4"/>
        <v>-6.38979809877101E-3</v>
      </c>
      <c r="K53">
        <f t="shared" si="5"/>
        <v>-2.6654835861398426E-3</v>
      </c>
      <c r="L53">
        <f t="shared" si="6"/>
        <v>-4.5328710199871586E-3</v>
      </c>
      <c r="M53">
        <f t="shared" si="7"/>
        <v>0</v>
      </c>
    </row>
    <row r="54" spans="1:13" x14ac:dyDescent="0.4">
      <c r="A54" t="s">
        <v>25</v>
      </c>
      <c r="B54">
        <v>48.35</v>
      </c>
      <c r="C54">
        <v>782</v>
      </c>
      <c r="D54">
        <v>22.41</v>
      </c>
      <c r="E54">
        <v>39.24</v>
      </c>
      <c r="F54">
        <v>266</v>
      </c>
      <c r="I54">
        <f t="shared" si="3"/>
        <v>5.184044787587919E-3</v>
      </c>
      <c r="J54">
        <f t="shared" si="4"/>
        <v>2.5608208616736505E-3</v>
      </c>
      <c r="K54">
        <f t="shared" si="5"/>
        <v>-3.1187372126547275E-3</v>
      </c>
      <c r="L54">
        <f t="shared" si="6"/>
        <v>-9.6374065732423974E-3</v>
      </c>
      <c r="M54">
        <f t="shared" si="7"/>
        <v>-5.62325755436212E-3</v>
      </c>
    </row>
    <row r="55" spans="1:13" x14ac:dyDescent="0.4">
      <c r="A55" t="s">
        <v>24</v>
      </c>
      <c r="B55">
        <v>48.2</v>
      </c>
      <c r="C55">
        <v>779</v>
      </c>
      <c r="D55">
        <v>22.55</v>
      </c>
      <c r="E55">
        <v>39.549999999999997</v>
      </c>
      <c r="F55">
        <v>268.5</v>
      </c>
      <c r="I55">
        <f t="shared" si="3"/>
        <v>-3.1072008427487155E-3</v>
      </c>
      <c r="J55">
        <f t="shared" si="4"/>
        <v>-3.843694674562827E-3</v>
      </c>
      <c r="K55">
        <f t="shared" si="5"/>
        <v>6.2277781358517281E-3</v>
      </c>
      <c r="L55">
        <f t="shared" si="6"/>
        <v>7.8690595165003836E-3</v>
      </c>
      <c r="M55">
        <f t="shared" si="7"/>
        <v>9.3546051672203177E-3</v>
      </c>
    </row>
    <row r="56" spans="1:13" x14ac:dyDescent="0.4">
      <c r="A56" t="s">
        <v>23</v>
      </c>
      <c r="B56">
        <v>48.25</v>
      </c>
      <c r="C56">
        <v>769</v>
      </c>
      <c r="D56">
        <v>22.57</v>
      </c>
      <c r="E56">
        <v>39.74</v>
      </c>
      <c r="F56">
        <v>265.5</v>
      </c>
      <c r="I56">
        <f t="shared" si="3"/>
        <v>1.0368067284403084E-3</v>
      </c>
      <c r="J56">
        <f t="shared" si="4"/>
        <v>-1.2920076365104283E-2</v>
      </c>
      <c r="K56">
        <f t="shared" si="5"/>
        <v>8.8652488075705201E-4</v>
      </c>
      <c r="L56">
        <f t="shared" si="6"/>
        <v>4.792542910007986E-3</v>
      </c>
      <c r="M56">
        <f t="shared" si="7"/>
        <v>-1.1236073266925842E-2</v>
      </c>
    </row>
    <row r="57" spans="1:13" x14ac:dyDescent="0.4">
      <c r="A57" t="s">
        <v>22</v>
      </c>
      <c r="B57">
        <v>48.65</v>
      </c>
      <c r="C57">
        <v>779</v>
      </c>
      <c r="D57">
        <v>22.7</v>
      </c>
      <c r="E57">
        <v>39.86</v>
      </c>
      <c r="F57">
        <v>266.5</v>
      </c>
      <c r="I57">
        <f t="shared" si="3"/>
        <v>8.2559808470190777E-3</v>
      </c>
      <c r="J57">
        <f t="shared" si="4"/>
        <v>1.292007636510429E-2</v>
      </c>
      <c r="K57">
        <f t="shared" si="5"/>
        <v>5.743333657912535E-3</v>
      </c>
      <c r="L57">
        <f t="shared" si="6"/>
        <v>3.0150776609777518E-3</v>
      </c>
      <c r="M57">
        <f t="shared" si="7"/>
        <v>3.7594029239057455E-3</v>
      </c>
    </row>
  </sheetData>
  <mergeCells count="3">
    <mergeCell ref="O14:T14"/>
    <mergeCell ref="O24:T24"/>
    <mergeCell ref="O34:T3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B2B73-C987-46BD-B096-BD9B91EB1C9D}">
  <sheetPr codeName="工作表23"/>
  <dimension ref="A1:Z1001"/>
  <sheetViews>
    <sheetView topLeftCell="M1" zoomScale="51" zoomScaleNormal="51" workbookViewId="0">
      <selection activeCell="N2" sqref="N2:R58"/>
    </sheetView>
  </sheetViews>
  <sheetFormatPr defaultColWidth="15.36328125" defaultRowHeight="17" x14ac:dyDescent="0.4"/>
  <cols>
    <col min="1" max="1" width="63.453125" style="15" bestFit="1" customWidth="1"/>
    <col min="2" max="2" width="15.08984375" bestFit="1" customWidth="1"/>
    <col min="3" max="3" width="15" bestFit="1" customWidth="1"/>
    <col min="4" max="7" width="14.81640625" bestFit="1" customWidth="1"/>
    <col min="8" max="8" width="20.81640625" bestFit="1" customWidth="1"/>
    <col min="12" max="12" width="111.6328125" bestFit="1" customWidth="1"/>
    <col min="13" max="13" width="15.08984375" bestFit="1" customWidth="1"/>
    <col min="14" max="16" width="15.6328125" bestFit="1" customWidth="1"/>
    <col min="17" max="17" width="17" bestFit="1" customWidth="1"/>
    <col min="18" max="18" width="15.6328125" bestFit="1" customWidth="1"/>
    <col min="20" max="20" width="65" bestFit="1" customWidth="1"/>
    <col min="21" max="21" width="15.08984375" bestFit="1" customWidth="1"/>
    <col min="22" max="26" width="14" bestFit="1" customWidth="1"/>
  </cols>
  <sheetData>
    <row r="1" spans="1:26" ht="18" thickTop="1" thickBot="1" x14ac:dyDescent="0.45">
      <c r="A1" s="52" t="s">
        <v>104</v>
      </c>
      <c r="B1" s="54" t="s">
        <v>90</v>
      </c>
      <c r="C1" s="55" t="s">
        <v>142</v>
      </c>
      <c r="D1" s="56" t="s">
        <v>143</v>
      </c>
      <c r="E1" s="57" t="s">
        <v>144</v>
      </c>
      <c r="F1" s="56" t="s">
        <v>145</v>
      </c>
      <c r="G1" s="60" t="s">
        <v>146</v>
      </c>
      <c r="L1" s="28" t="s">
        <v>94</v>
      </c>
      <c r="M1" s="30" t="s">
        <v>90</v>
      </c>
      <c r="N1" s="31" t="s">
        <v>132</v>
      </c>
      <c r="O1" s="32" t="s">
        <v>133</v>
      </c>
      <c r="P1" s="33" t="s">
        <v>134</v>
      </c>
      <c r="Q1" s="32" t="s">
        <v>135</v>
      </c>
      <c r="R1" s="34" t="s">
        <v>136</v>
      </c>
      <c r="T1" s="18" t="s">
        <v>91</v>
      </c>
      <c r="U1" s="36" t="s">
        <v>90</v>
      </c>
      <c r="V1" s="20" t="s">
        <v>20</v>
      </c>
      <c r="W1" s="21" t="s">
        <v>14</v>
      </c>
      <c r="X1" s="22" t="s">
        <v>17</v>
      </c>
      <c r="Y1" s="21" t="s">
        <v>18</v>
      </c>
      <c r="Z1" s="24" t="s">
        <v>15</v>
      </c>
    </row>
    <row r="2" spans="1:26" x14ac:dyDescent="0.4">
      <c r="A2" s="63" t="s">
        <v>102</v>
      </c>
      <c r="B2" s="53">
        <v>1</v>
      </c>
      <c r="C2" s="91">
        <v>0</v>
      </c>
      <c r="D2" s="91">
        <v>0</v>
      </c>
      <c r="E2" s="91">
        <v>0</v>
      </c>
      <c r="F2" s="91">
        <v>0</v>
      </c>
      <c r="G2" s="61">
        <v>0</v>
      </c>
      <c r="L2" s="101" t="s">
        <v>105</v>
      </c>
      <c r="M2" s="29">
        <v>1</v>
      </c>
      <c r="N2" s="91">
        <v>1.2347810727987358</v>
      </c>
      <c r="O2" s="91">
        <v>0.18447942468163381</v>
      </c>
      <c r="P2" s="91">
        <v>-0.10284865731260148</v>
      </c>
      <c r="Q2" s="91">
        <v>0.70409650978710625</v>
      </c>
      <c r="R2" s="35">
        <v>1.1327621308849356</v>
      </c>
      <c r="T2" s="98" t="s">
        <v>92</v>
      </c>
      <c r="U2" s="19">
        <v>1</v>
      </c>
      <c r="V2" s="91">
        <v>0.8915440033263633</v>
      </c>
      <c r="W2" s="91">
        <v>0.57318131656693816</v>
      </c>
      <c r="X2" s="91">
        <v>0.45904154352006654</v>
      </c>
      <c r="Y2" s="91">
        <v>0.75931366323333149</v>
      </c>
      <c r="Z2" s="25">
        <v>0.871342920855803</v>
      </c>
    </row>
    <row r="3" spans="1:26" x14ac:dyDescent="0.4">
      <c r="B3" s="53">
        <v>2</v>
      </c>
      <c r="C3" s="91">
        <f>(輸入面板!$G$3*3/12+五股收盤價與其他數據彙總!$P$4*模擬股票報酬!$N61)*12/3</f>
        <v>-1.795231329748094E-2</v>
      </c>
      <c r="D3" s="91">
        <f>(輸入面板!$H$3*3/12+五股收盤價與其他數據彙總!$Q$4*模擬股票報酬!$O61)*12/3</f>
        <v>0.23195904568633796</v>
      </c>
      <c r="E3" s="91">
        <f>(輸入面板!$I$3*3/12+五股收盤價與其他數據彙總!$R$4*模擬股票報酬!$P61)*12/3</f>
        <v>5.8859583355101462E-2</v>
      </c>
      <c r="F3" s="91">
        <f>(輸入面板!$J$3*3/12+五股收盤價與其他數據彙總!$S$4*模擬股票報酬!$Q61)*12/3</f>
        <v>4.0755804063665559E-2</v>
      </c>
      <c r="G3" s="61">
        <f>(輸入面板!$K$3*3/12+五股收盤價與其他數據彙總!$T$4*模擬股票報酬!$R61)*12/3</f>
        <v>1.9755580266895868E-3</v>
      </c>
      <c r="L3" s="102"/>
      <c r="M3" s="29">
        <v>2</v>
      </c>
      <c r="N3" s="91">
        <v>-0.91967698564756306</v>
      </c>
      <c r="O3" s="91">
        <v>1.9625572042168007</v>
      </c>
      <c r="P3" s="91">
        <v>6.9055728247729112E-2</v>
      </c>
      <c r="Q3" s="91">
        <v>7.7914126136749112E-2</v>
      </c>
      <c r="R3" s="35">
        <v>-0.20236086413208731</v>
      </c>
      <c r="T3" s="99"/>
      <c r="U3" s="19">
        <v>2</v>
      </c>
      <c r="V3" s="91">
        <v>0.17887079138013862</v>
      </c>
      <c r="W3" s="91">
        <v>0.97515117622449243</v>
      </c>
      <c r="X3" s="91">
        <v>0.5275273696999534</v>
      </c>
      <c r="Y3" s="91">
        <v>0.53105181873050755</v>
      </c>
      <c r="Z3" s="25">
        <v>0.41981731066823613</v>
      </c>
    </row>
    <row r="4" spans="1:26" x14ac:dyDescent="0.4">
      <c r="B4" s="53">
        <v>3</v>
      </c>
      <c r="C4" s="91">
        <f>(輸入面板!$G$3*3/12+五股收盤價與其他數據彙總!$P$4*模擬股票報酬!$N62)*12/3</f>
        <v>3.8911398259716207E-2</v>
      </c>
      <c r="D4" s="91">
        <f>(輸入面板!$H$3*3/12+五股收盤價與其他數據彙總!$Q$4*模擬股票報酬!$O62)*12/3</f>
        <v>0.28544350503304161</v>
      </c>
      <c r="E4" s="91">
        <f>(輸入面板!$I$3*3/12+五股收盤價與其他數據彙總!$R$4*模擬股票報酬!$P62)*12/3</f>
        <v>5.8801193090182204E-2</v>
      </c>
      <c r="F4" s="91">
        <f>(輸入面板!$J$3*3/12+五股收盤價與其他數據彙總!$S$4*模擬股票報酬!$Q62)*12/3</f>
        <v>6.2067080883190448E-3</v>
      </c>
      <c r="G4" s="61">
        <f>(輸入面板!$K$3*3/12+五股收盤價與其他數據彙總!$T$4*模擬股票報酬!$R62)*12/3</f>
        <v>5.3228269285611453E-2</v>
      </c>
      <c r="L4" s="102"/>
      <c r="M4" s="29">
        <v>3</v>
      </c>
      <c r="N4" s="91">
        <v>0.66735110447603341</v>
      </c>
      <c r="O4" s="91">
        <v>2.2424062929546849</v>
      </c>
      <c r="P4" s="91">
        <v>-0.45176749294235741</v>
      </c>
      <c r="Q4" s="91">
        <v>-1.8130798516139033</v>
      </c>
      <c r="R4" s="35">
        <v>1.619393674197191</v>
      </c>
      <c r="T4" s="99"/>
      <c r="U4" s="19">
        <v>3</v>
      </c>
      <c r="V4" s="91">
        <v>0.74772605485435384</v>
      </c>
      <c r="W4" s="91">
        <v>0.9875324372679477</v>
      </c>
      <c r="X4" s="91">
        <v>0.32571824510759617</v>
      </c>
      <c r="Y4" s="91">
        <v>3.4909753136653787E-2</v>
      </c>
      <c r="Z4" s="25">
        <v>0.94731870648104843</v>
      </c>
    </row>
    <row r="5" spans="1:26" x14ac:dyDescent="0.4">
      <c r="B5" s="53">
        <v>4</v>
      </c>
      <c r="C5" s="91">
        <f>(輸入面板!$G$3*3/12+五股收盤價與其他數據彙總!$P$4*模擬股票報酬!$N63)*12/3</f>
        <v>2.5843480761722593E-2</v>
      </c>
      <c r="D5" s="91">
        <f>(輸入面板!$H$3*3/12+五股收盤價與其他數據彙總!$Q$4*模擬股票報酬!$O63)*12/3</f>
        <v>0.11787073326270121</v>
      </c>
      <c r="E5" s="91">
        <f>(輸入面板!$I$3*3/12+五股收盤價與其他數據彙總!$R$4*模擬股票報酬!$P63)*12/3</f>
        <v>8.543597352640124E-2</v>
      </c>
      <c r="F5" s="91">
        <f>(輸入面板!$J$3*3/12+五股收盤價與其他數據彙總!$S$4*模擬股票報酬!$Q63)*12/3</f>
        <v>7.1257333840722997E-2</v>
      </c>
      <c r="G5" s="61">
        <f>(輸入面板!$K$3*3/12+五股收盤價與其他數據彙總!$T$4*模擬股票報酬!$R63)*12/3</f>
        <v>-6.8001024572959283E-3</v>
      </c>
      <c r="L5" s="102"/>
      <c r="M5" s="29">
        <v>4</v>
      </c>
      <c r="N5" s="91">
        <v>0.30263428278435106</v>
      </c>
      <c r="O5" s="91">
        <v>0.15339497448578937</v>
      </c>
      <c r="P5" s="91">
        <v>1.5431073218020819</v>
      </c>
      <c r="Q5" s="91">
        <v>0.31054301394261308</v>
      </c>
      <c r="R5" s="35">
        <v>-1.3051115496876893</v>
      </c>
      <c r="T5" s="99"/>
      <c r="U5" s="19">
        <v>4</v>
      </c>
      <c r="V5" s="91">
        <v>0.61891570749562841</v>
      </c>
      <c r="W5" s="91">
        <v>0.56095659611677773</v>
      </c>
      <c r="X5" s="91">
        <v>0.93859763073017399</v>
      </c>
      <c r="Y5" s="91">
        <v>0.62192597264698457</v>
      </c>
      <c r="Z5" s="25">
        <v>9.5927433252575467E-2</v>
      </c>
    </row>
    <row r="6" spans="1:26" x14ac:dyDescent="0.4">
      <c r="B6" s="53">
        <v>5</v>
      </c>
      <c r="C6" s="91">
        <f>(輸入面板!$G$3*3/12+五股收盤價與其他數據彙總!$P$4*模擬股票報酬!$N64)*12/3</f>
        <v>-1.9632229659621261E-2</v>
      </c>
      <c r="D6" s="91">
        <f>(輸入面板!$H$3*3/12+五股收盤價與其他數據彙總!$Q$4*模擬股票報酬!$O64)*12/3</f>
        <v>8.4604165559861014E-2</v>
      </c>
      <c r="E6" s="91">
        <f>(輸入面板!$I$3*3/12+五股收盤價與其他數據彙總!$R$4*模擬股票報酬!$P64)*12/3</f>
        <v>4.5548744618612372E-3</v>
      </c>
      <c r="F6" s="91">
        <f>(輸入面板!$J$3*3/12+五股收盤價與其他數據彙總!$S$4*模擬股票報酬!$Q64)*12/3</f>
        <v>-2.7513894258165961E-2</v>
      </c>
      <c r="G6" s="61">
        <f>(輸入面板!$K$3*3/12+五股收盤價與其他數據彙總!$T$4*模擬股票報酬!$R64)*12/3</f>
        <v>-1.6321012333171611E-3</v>
      </c>
      <c r="L6" s="102"/>
      <c r="M6" s="29">
        <v>5</v>
      </c>
      <c r="N6" s="91">
        <v>-0.96656232574874912</v>
      </c>
      <c r="O6" s="91">
        <v>5.3547005538551261E-2</v>
      </c>
      <c r="P6" s="91">
        <v>-1.2289070702409337</v>
      </c>
      <c r="Q6" s="91">
        <v>-1.2666654691372801</v>
      </c>
      <c r="R6" s="35">
        <v>-4.5610051607626732E-2</v>
      </c>
      <c r="T6" s="99"/>
      <c r="U6" s="19">
        <v>5</v>
      </c>
      <c r="V6" s="91">
        <v>0.16688143790231869</v>
      </c>
      <c r="W6" s="91">
        <v>0.5213519603297545</v>
      </c>
      <c r="X6" s="91">
        <v>0.10955332515292859</v>
      </c>
      <c r="Y6" s="91">
        <v>0.10263746602050805</v>
      </c>
      <c r="Z6" s="25">
        <v>0.4818105287434955</v>
      </c>
    </row>
    <row r="7" spans="1:26" x14ac:dyDescent="0.4">
      <c r="B7" s="53">
        <v>6</v>
      </c>
      <c r="C7" s="91">
        <f>(輸入面板!$G$3*3/12+五股收盤價與其他數據彙總!$P$4*模擬股票報酬!$N65)*12/3</f>
        <v>-1.4978904427648048E-2</v>
      </c>
      <c r="D7" s="91">
        <f>(輸入面板!$H$3*3/12+五股收盤價與其他數據彙總!$Q$4*模擬股票報酬!$O65)*12/3</f>
        <v>0.16205859556298768</v>
      </c>
      <c r="E7" s="91">
        <f>(輸入面板!$I$3*3/12+五股收盤價與其他數據彙總!$R$4*模擬股票報酬!$P65)*12/3</f>
        <v>6.003421898007303E-2</v>
      </c>
      <c r="F7" s="91">
        <f>(輸入面板!$J$3*3/12+五股收盤價與其他數據彙總!$S$4*模擬股票報酬!$Q65)*12/3</f>
        <v>1.4305502626060569E-2</v>
      </c>
      <c r="G7" s="61">
        <f>(輸入面板!$K$3*3/12+五股收盤價與其他數據彙總!$T$4*模擬股票報酬!$R65)*12/3</f>
        <v>3.119203469907722E-2</v>
      </c>
      <c r="L7" s="102"/>
      <c r="M7" s="29">
        <v>6</v>
      </c>
      <c r="N7" s="91">
        <v>-0.83669113631374137</v>
      </c>
      <c r="O7" s="91">
        <v>1.0292997395745065</v>
      </c>
      <c r="P7" s="91">
        <v>0.48227021985157531</v>
      </c>
      <c r="Q7" s="91">
        <v>-1.3414781757133811</v>
      </c>
      <c r="R7" s="35">
        <v>0.71858888667472631</v>
      </c>
      <c r="T7" s="99"/>
      <c r="U7" s="19">
        <v>6</v>
      </c>
      <c r="V7" s="91">
        <v>0.20138310134863735</v>
      </c>
      <c r="W7" s="91">
        <v>0.84833057717656946</v>
      </c>
      <c r="X7" s="91">
        <v>0.68519300018399121</v>
      </c>
      <c r="Y7" s="91">
        <v>8.988262543290837E-2</v>
      </c>
      <c r="Z7" s="25">
        <v>0.76380286859226243</v>
      </c>
    </row>
    <row r="8" spans="1:26" x14ac:dyDescent="0.4">
      <c r="B8" s="53">
        <v>7</v>
      </c>
      <c r="C8" s="91">
        <f>(輸入面板!$G$3*3/12+五股收盤價與其他數據彙總!$P$4*模擬股票報酬!$N66)*12/3</f>
        <v>1.3033484014697233E-2</v>
      </c>
      <c r="D8" s="91">
        <f>(輸入面板!$H$3*3/12+五股收盤價與其他數據彙總!$Q$4*模擬股票報酬!$O66)*12/3</f>
        <v>-5.4117911736247991E-2</v>
      </c>
      <c r="E8" s="91">
        <f>(輸入面板!$I$3*3/12+五股收盤價與其他數據彙總!$R$4*模擬股票報酬!$P66)*12/3</f>
        <v>2.1756142958215718E-2</v>
      </c>
      <c r="F8" s="91">
        <f>(輸入面板!$J$3*3/12+五股收盤價與其他數據彙總!$S$4*模擬股票報酬!$Q66)*12/3</f>
        <v>-9.2495467389297481E-3</v>
      </c>
      <c r="G8" s="61">
        <f>(輸入面板!$K$3*3/12+五股收盤價與其他數據彙總!$T$4*模擬股票報酬!$R66)*12/3</f>
        <v>3.9329670320087814E-2</v>
      </c>
      <c r="L8" s="102"/>
      <c r="M8" s="29">
        <v>7</v>
      </c>
      <c r="N8" s="91">
        <v>-5.4884143558117125E-2</v>
      </c>
      <c r="O8" s="91">
        <v>-1.9950882803708603</v>
      </c>
      <c r="P8" s="91">
        <v>6.0174213782315543E-2</v>
      </c>
      <c r="Q8" s="91">
        <v>-1.2481740478132675</v>
      </c>
      <c r="R8" s="35">
        <v>0.97574195678000364</v>
      </c>
      <c r="T8" s="99"/>
      <c r="U8" s="19">
        <v>7</v>
      </c>
      <c r="V8" s="91">
        <v>0.47811538222227545</v>
      </c>
      <c r="W8" s="91">
        <v>2.3016626171157073E-2</v>
      </c>
      <c r="X8" s="91">
        <v>0.52399155854504853</v>
      </c>
      <c r="Y8" s="91">
        <v>0.10598366287442507</v>
      </c>
      <c r="Z8" s="25">
        <v>0.83540382263269675</v>
      </c>
    </row>
    <row r="9" spans="1:26" ht="17.5" thickBot="1" x14ac:dyDescent="0.45">
      <c r="B9" s="53">
        <v>8</v>
      </c>
      <c r="C9" s="91">
        <f>(輸入面板!$G$3*3/12+五股收盤價與其他數據彙總!$P$4*模擬股票報酬!$N67)*12/3</f>
        <v>-2.9289315636997836E-2</v>
      </c>
      <c r="D9" s="91">
        <f>(輸入面板!$H$3*3/12+五股收盤價與其他數據彙總!$Q$4*模擬股票報酬!$O67)*12/3</f>
        <v>7.3802433347584032E-2</v>
      </c>
      <c r="E9" s="91">
        <f>(輸入面板!$I$3*3/12+五股收盤價與其他數據彙總!$R$4*模擬股票報酬!$P67)*12/3</f>
        <v>1.1465290321802046E-2</v>
      </c>
      <c r="F9" s="91">
        <f>(輸入面板!$J$3*3/12+五股收盤價與其他數據彙總!$S$4*模擬股票報酬!$Q67)*12/3</f>
        <v>-1.2593145847428343E-2</v>
      </c>
      <c r="G9" s="61">
        <f>(輸入面板!$K$3*3/12+五股收盤價與其他數據彙總!$T$4*模擬股票報酬!$R67)*12/3</f>
        <v>2.7765458898791187E-2</v>
      </c>
      <c r="L9" s="103"/>
      <c r="M9" s="29">
        <v>8</v>
      </c>
      <c r="N9" s="91">
        <v>-1.2360851250021776</v>
      </c>
      <c r="O9" s="91">
        <v>-1.6387247711820287E-2</v>
      </c>
      <c r="P9" s="91">
        <v>-0.86364782194327616</v>
      </c>
      <c r="Q9" s="91">
        <v>-0.76849680887761174</v>
      </c>
      <c r="R9" s="35">
        <v>1.1146786337550734</v>
      </c>
      <c r="T9" s="100"/>
      <c r="U9" s="19">
        <v>8</v>
      </c>
      <c r="V9" s="91">
        <v>0.10821346172740731</v>
      </c>
      <c r="W9" s="91">
        <v>0.49346272661827495</v>
      </c>
      <c r="X9" s="91">
        <v>0.19389069258209646</v>
      </c>
      <c r="Y9" s="91">
        <v>0.22109604289637597</v>
      </c>
      <c r="Z9" s="25">
        <v>0.86750591990347159</v>
      </c>
    </row>
    <row r="10" spans="1:26" x14ac:dyDescent="0.4">
      <c r="B10" s="53">
        <v>9</v>
      </c>
      <c r="C10" s="91">
        <f>(輸入面板!$G$3*3/12+五股收盤價與其他數據彙總!$P$4*模擬股票報酬!$N68)*12/3</f>
        <v>-2.6821578778792599E-2</v>
      </c>
      <c r="D10" s="91">
        <f>(輸入面板!$H$3*3/12+五股收盤價與其他數據彙總!$Q$4*模擬股票報酬!$O68)*12/3</f>
        <v>0.12589223515825718</v>
      </c>
      <c r="E10" s="91">
        <f>(輸入面板!$I$3*3/12+五股收盤價與其他數據彙總!$R$4*模擬股票報酬!$P68)*12/3</f>
        <v>2.7490119471645303E-2</v>
      </c>
      <c r="F10" s="91">
        <f>(輸入面板!$J$3*3/12+五股收盤價與其他數據彙總!$S$4*模擬股票報酬!$Q68)*12/3</f>
        <v>1.9140126159514714E-2</v>
      </c>
      <c r="G10" s="61">
        <f>(輸入面板!$K$3*3/12+五股收盤價與其他數據彙總!$T$4*模擬股票報酬!$R68)*12/3</f>
        <v>-3.2433047271262332E-3</v>
      </c>
      <c r="L10" s="67"/>
      <c r="M10" s="29">
        <v>9</v>
      </c>
      <c r="N10" s="91">
        <v>-1.1672122427059572</v>
      </c>
      <c r="O10" s="91">
        <v>0.64468666535831531</v>
      </c>
      <c r="P10" s="91">
        <v>-0.53528188525352494</v>
      </c>
      <c r="Q10" s="91">
        <v>0.20325268401589533</v>
      </c>
      <c r="R10" s="35">
        <v>-0.18772384560863398</v>
      </c>
      <c r="U10" s="19">
        <v>9</v>
      </c>
      <c r="V10" s="91">
        <v>0.12156233400284133</v>
      </c>
      <c r="W10" s="91">
        <v>0.74043487029745902</v>
      </c>
      <c r="X10" s="91">
        <v>0.296227475308525</v>
      </c>
      <c r="Y10" s="91">
        <v>0.58053123188594058</v>
      </c>
      <c r="Z10" s="25">
        <v>0.4255465682449957</v>
      </c>
    </row>
    <row r="11" spans="1:26" x14ac:dyDescent="0.4">
      <c r="B11" s="53">
        <v>10</v>
      </c>
      <c r="C11" s="91">
        <f>(輸入面板!$G$3*3/12+五股收盤價與其他數據彙總!$P$4*模擬股票報酬!$N69)*12/3</f>
        <v>2.8386236419268313E-2</v>
      </c>
      <c r="D11" s="91">
        <f>(輸入面板!$H$3*3/12+五股收盤價與其他數據彙總!$Q$4*模擬股票報酬!$O69)*12/3</f>
        <v>0.15206030895450579</v>
      </c>
      <c r="E11" s="91">
        <f>(輸入面板!$I$3*3/12+五股收盤價與其他數據彙總!$R$4*模擬股票報酬!$P69)*12/3</f>
        <v>2.2144565729810824E-2</v>
      </c>
      <c r="F11" s="91">
        <f>(輸入面板!$J$3*3/12+五股收盤價與其他數據彙總!$S$4*模擬股票報酬!$Q69)*12/3</f>
        <v>5.3621934076777608E-4</v>
      </c>
      <c r="G11" s="61">
        <f>(輸入面板!$K$3*3/12+五股收盤價與其他數據彙總!$T$4*模擬股票報酬!$R69)*12/3</f>
        <v>5.2836794460417134E-2</v>
      </c>
      <c r="M11" s="29">
        <v>10</v>
      </c>
      <c r="N11" s="91">
        <v>0.37360088950657788</v>
      </c>
      <c r="O11" s="91">
        <v>0.58051883511678737</v>
      </c>
      <c r="P11" s="91">
        <v>-1.1060545042726604</v>
      </c>
      <c r="Q11" s="91">
        <v>-0.69753871583247085</v>
      </c>
      <c r="R11" s="35">
        <v>1.9147599649583353</v>
      </c>
      <c r="U11" s="19">
        <v>10</v>
      </c>
      <c r="V11" s="91">
        <v>0.64564936397164097</v>
      </c>
      <c r="W11" s="91">
        <v>0.71921760556978609</v>
      </c>
      <c r="X11" s="91">
        <v>0.13435146449012492</v>
      </c>
      <c r="Y11" s="91">
        <v>0.24273285955218138</v>
      </c>
      <c r="Z11" s="25">
        <v>0.97223843884520789</v>
      </c>
    </row>
    <row r="12" spans="1:26" x14ac:dyDescent="0.4">
      <c r="B12" s="53">
        <v>11</v>
      </c>
      <c r="C12" s="91">
        <f>(輸入面板!$G$3*3/12+五股收盤價與其他數據彙總!$P$4*模擬股票報酬!$N70)*12/3</f>
        <v>-2.8024822860680407E-2</v>
      </c>
      <c r="D12" s="91">
        <f>(輸入面板!$H$3*3/12+五股收盤價與其他數據彙總!$Q$4*模擬股票報酬!$O70)*12/3</f>
        <v>0.13002768289767366</v>
      </c>
      <c r="E12" s="91">
        <f>(輸入面板!$I$3*3/12+五股收盤價與其他數據彙總!$R$4*模擬股票報酬!$P70)*12/3</f>
        <v>6.7537914448338093E-2</v>
      </c>
      <c r="F12" s="91">
        <f>(輸入面板!$J$3*3/12+五股收盤價與其他數據彙總!$S$4*模擬股票報酬!$Q70)*12/3</f>
        <v>5.7319399373836552E-3</v>
      </c>
      <c r="G12" s="61">
        <f>(輸入面板!$K$3*3/12+五股收盤價與其他數據彙總!$T$4*模擬股票報酬!$R70)*12/3</f>
        <v>2.2843782996258322E-2</v>
      </c>
      <c r="M12" s="29">
        <v>11</v>
      </c>
      <c r="N12" s="91">
        <v>-1.2007939788420192</v>
      </c>
      <c r="O12" s="91">
        <v>0.70744332376627572</v>
      </c>
      <c r="P12" s="91">
        <v>0.99940988943302145</v>
      </c>
      <c r="Q12" s="91">
        <v>-2.037248302519497</v>
      </c>
      <c r="R12" s="35">
        <v>0.22775401251974814</v>
      </c>
      <c r="U12" s="19">
        <v>11</v>
      </c>
      <c r="V12" s="91">
        <v>0.11491556404471615</v>
      </c>
      <c r="W12" s="91">
        <v>0.76035448908601455</v>
      </c>
      <c r="X12" s="91">
        <v>0.84120191445631654</v>
      </c>
      <c r="Y12" s="91">
        <v>2.0812582808862556E-2</v>
      </c>
      <c r="Z12" s="25">
        <v>0.59008126010835915</v>
      </c>
    </row>
    <row r="13" spans="1:26" x14ac:dyDescent="0.4">
      <c r="B13" s="53">
        <v>12</v>
      </c>
      <c r="C13" s="91">
        <f>(輸入面板!$G$3*3/12+五股收盤價與其他數據彙總!$P$4*模擬股票報酬!$N71)*12/3</f>
        <v>-2.4869946010353843E-2</v>
      </c>
      <c r="D13" s="91">
        <f>(輸入面板!$H$3*3/12+五股收盤價與其他數據彙總!$Q$4*模擬股票報酬!$O71)*12/3</f>
        <v>-8.8002669442981254E-2</v>
      </c>
      <c r="E13" s="91">
        <f>(輸入面板!$I$3*3/12+五股收盤價與其他數據彙總!$R$4*模擬股票報酬!$P71)*12/3</f>
        <v>-7.4260652153947254E-3</v>
      </c>
      <c r="F13" s="91">
        <f>(輸入面板!$J$3*3/12+五股收盤價與其他數據彙總!$S$4*模擬股票報酬!$Q71)*12/3</f>
        <v>-3.5970238220587397E-2</v>
      </c>
      <c r="G13" s="61">
        <f>(輸入面板!$K$3*3/12+五股收盤價與其他數據彙總!$T$4*模擬股票報酬!$R71)*12/3</f>
        <v>5.1335397177004062E-2</v>
      </c>
      <c r="M13" s="29">
        <v>12</v>
      </c>
      <c r="N13" s="91">
        <v>-1.1127434797585627</v>
      </c>
      <c r="O13" s="91">
        <v>-2.1585972334324497</v>
      </c>
      <c r="P13" s="91">
        <v>-0.73491712787454677</v>
      </c>
      <c r="Q13" s="91">
        <v>-1.3088210584453774</v>
      </c>
      <c r="R13" s="35">
        <v>1.9244389500132597</v>
      </c>
      <c r="U13" s="19">
        <v>12</v>
      </c>
      <c r="V13" s="91">
        <v>0.13290930799912726</v>
      </c>
      <c r="W13" s="91">
        <v>1.5440713791778693E-2</v>
      </c>
      <c r="X13" s="91">
        <v>0.23119498322816634</v>
      </c>
      <c r="Y13" s="91">
        <v>9.5297485962495543E-2</v>
      </c>
      <c r="Z13" s="25">
        <v>0.97285020691112356</v>
      </c>
    </row>
    <row r="14" spans="1:26" x14ac:dyDescent="0.4">
      <c r="B14" s="53">
        <v>13</v>
      </c>
      <c r="C14" s="91">
        <f>(輸入面板!$G$3*3/12+五股收盤價與其他數據彙總!$P$4*模擬股票報酬!$N72)*12/3</f>
        <v>9.0609568620433536E-3</v>
      </c>
      <c r="D14" s="91">
        <f>(輸入面板!$H$3*3/12+五股收盤價與其他數據彙總!$Q$4*模擬股票報酬!$O72)*12/3</f>
        <v>0.11816355279414753</v>
      </c>
      <c r="E14" s="91">
        <f>(輸入面板!$I$3*3/12+五股收盤價與其他數據彙總!$R$4*模擬股票報酬!$P72)*12/3</f>
        <v>5.9238498250565839E-2</v>
      </c>
      <c r="F14" s="91">
        <f>(輸入面板!$J$3*3/12+五股收盤價與其他數據彙總!$S$4*模擬股票報酬!$Q72)*12/3</f>
        <v>5.5425117382664847E-2</v>
      </c>
      <c r="G14" s="61">
        <f>(輸入面板!$K$3*3/12+五股收盤價與其他數據彙總!$T$4*模擬股票報酬!$R72)*12/3</f>
        <v>9.0120845284703856E-3</v>
      </c>
      <c r="M14" s="29">
        <v>13</v>
      </c>
      <c r="N14" s="91">
        <v>-0.16575471474302711</v>
      </c>
      <c r="O14" s="91">
        <v>0.28044091442584218</v>
      </c>
      <c r="P14" s="91">
        <v>0.59337690042758084</v>
      </c>
      <c r="Q14" s="91">
        <v>0.61861167445597698</v>
      </c>
      <c r="R14" s="35">
        <v>-0.23582388890805264</v>
      </c>
      <c r="U14" s="19">
        <v>13</v>
      </c>
      <c r="V14" s="91">
        <v>0.43417499271389337</v>
      </c>
      <c r="W14" s="91">
        <v>0.61043037465827554</v>
      </c>
      <c r="X14" s="91">
        <v>0.72353552777975239</v>
      </c>
      <c r="Y14" s="91">
        <v>0.73191389542973528</v>
      </c>
      <c r="Z14" s="25">
        <v>0.40678466511010281</v>
      </c>
    </row>
    <row r="15" spans="1:26" x14ac:dyDescent="0.4">
      <c r="B15" s="53">
        <v>14</v>
      </c>
      <c r="C15" s="91">
        <f>(輸入面板!$G$3*3/12+五股收盤價與其他數據彙總!$P$4*模擬股票報酬!$N73)*12/3</f>
        <v>2.2499979243523833E-2</v>
      </c>
      <c r="D15" s="91">
        <f>(輸入面板!$H$3*3/12+五股收盤價與其他數據彙總!$Q$4*模擬股票報酬!$O73)*12/3</f>
        <v>0.23676865349145318</v>
      </c>
      <c r="E15" s="91">
        <f>(輸入面板!$I$3*3/12+五股收盤價與其他數據彙總!$R$4*模擬股票報酬!$P73)*12/3</f>
        <v>3.9572670149026143E-2</v>
      </c>
      <c r="F15" s="91">
        <f>(輸入面板!$J$3*3/12+五股收盤價與其他數據彙總!$S$4*模擬股票報酬!$Q73)*12/3</f>
        <v>1.7632490756589129E-2</v>
      </c>
      <c r="G15" s="61">
        <f>(輸入面板!$K$3*3/12+五股收盤價與其他數據彙總!$T$4*模擬股票報酬!$R73)*12/3</f>
        <v>-1.9144415121657772E-2</v>
      </c>
      <c r="M15" s="29">
        <v>14</v>
      </c>
      <c r="N15" s="91">
        <v>0.20931939560160034</v>
      </c>
      <c r="O15" s="91">
        <v>1.7282428930436049</v>
      </c>
      <c r="P15" s="91">
        <v>-0.8669270747207436</v>
      </c>
      <c r="Q15" s="91">
        <v>-0.45728263304636468</v>
      </c>
      <c r="R15" s="35">
        <v>-1.0169358443016521</v>
      </c>
      <c r="U15" s="19">
        <v>14</v>
      </c>
      <c r="V15" s="91">
        <v>0.58290054418301196</v>
      </c>
      <c r="W15" s="91">
        <v>0.95802765667756029</v>
      </c>
      <c r="X15" s="91">
        <v>0.19299098389154534</v>
      </c>
      <c r="Y15" s="91">
        <v>0.32373395543731998</v>
      </c>
      <c r="Z15" s="25">
        <v>0.15459197512530087</v>
      </c>
    </row>
    <row r="16" spans="1:26" x14ac:dyDescent="0.4">
      <c r="B16" s="53">
        <v>15</v>
      </c>
      <c r="C16" s="91">
        <f>(輸入面板!$G$3*3/12+五股收盤價與其他數據彙總!$P$4*模擬股票報酬!$N74)*12/3</f>
        <v>-1.2822681824012671E-2</v>
      </c>
      <c r="D16" s="91">
        <f>(輸入面板!$H$3*3/12+五股收盤價與其他數據彙總!$Q$4*模擬股票報酬!$O74)*12/3</f>
        <v>0.10829998485122749</v>
      </c>
      <c r="E16" s="91">
        <f>(輸入面板!$I$3*3/12+五股收盤價與其他數據彙總!$R$4*模擬股票報酬!$P74)*12/3</f>
        <v>4.2872797991426535E-2</v>
      </c>
      <c r="F16" s="91">
        <f>(輸入面板!$J$3*3/12+五股收盤價與其他數據彙總!$S$4*模擬股票報酬!$Q74)*12/3</f>
        <v>3.0058968007986724E-2</v>
      </c>
      <c r="G16" s="61">
        <f>(輸入面板!$K$3*3/12+五股收盤價與其他數據彙總!$T$4*模擬股票報酬!$R74)*12/3</f>
        <v>3.5523901586252023E-2</v>
      </c>
      <c r="M16" s="29">
        <v>15</v>
      </c>
      <c r="N16" s="91">
        <v>-0.77651240814390088</v>
      </c>
      <c r="O16" s="91">
        <v>0.31251436554152839</v>
      </c>
      <c r="P16" s="91">
        <v>0.10036253142514513</v>
      </c>
      <c r="Q16" s="91">
        <v>7.6379092234561852E-2</v>
      </c>
      <c r="R16" s="35">
        <v>1.0877318960499662</v>
      </c>
      <c r="U16" s="19">
        <v>15</v>
      </c>
      <c r="V16" s="91">
        <v>0.21872324868321313</v>
      </c>
      <c r="W16" s="91">
        <v>0.62267517636680725</v>
      </c>
      <c r="X16" s="91">
        <v>0.53997174243810564</v>
      </c>
      <c r="Y16" s="91">
        <v>0.53044124850560692</v>
      </c>
      <c r="Z16" s="25">
        <v>0.86164325874987457</v>
      </c>
    </row>
    <row r="17" spans="2:26" x14ac:dyDescent="0.4">
      <c r="B17" s="53">
        <v>16</v>
      </c>
      <c r="C17" s="91">
        <f>(輸入面板!$G$3*3/12+五股收盤價與其他數據彙總!$P$4*模擬股票報酬!$N75)*12/3</f>
        <v>1.3959495953978392E-3</v>
      </c>
      <c r="D17" s="91">
        <f>(輸入面板!$H$3*3/12+五股收盤價與其他數據彙總!$Q$4*模擬股票報酬!$O75)*12/3</f>
        <v>2.0002438102781961E-2</v>
      </c>
      <c r="E17" s="91">
        <f>(輸入面板!$I$3*3/12+五股收盤價與其他數據彙總!$R$4*模擬股票報酬!$P75)*12/3</f>
        <v>4.7840132838793979E-2</v>
      </c>
      <c r="F17" s="91">
        <f>(輸入面板!$J$3*3/12+五股收盤價與其他數據彙總!$S$4*模擬股票報酬!$Q75)*12/3</f>
        <v>4.1639671861948974E-3</v>
      </c>
      <c r="G17" s="61">
        <f>(輸入面板!$K$3*3/12+五股收盤價與其他數據彙總!$T$4*模擬股票報酬!$R75)*12/3</f>
        <v>2.3722986677121045E-2</v>
      </c>
      <c r="M17" s="29">
        <v>16</v>
      </c>
      <c r="N17" s="91">
        <v>-0.37967993189899846</v>
      </c>
      <c r="O17" s="91">
        <v>-0.9431904900743463</v>
      </c>
      <c r="P17" s="91">
        <v>0.71539009813228904</v>
      </c>
      <c r="Q17" s="91">
        <v>-1.5185569665753997</v>
      </c>
      <c r="R17" s="35">
        <v>0.19478125362211915</v>
      </c>
      <c r="U17" s="19">
        <v>16</v>
      </c>
      <c r="V17" s="91">
        <v>0.35209150931569133</v>
      </c>
      <c r="W17" s="91">
        <v>0.17279173839815853</v>
      </c>
      <c r="X17" s="91">
        <v>0.76281598535663253</v>
      </c>
      <c r="Y17" s="91">
        <v>6.4437025047220375E-2</v>
      </c>
      <c r="Z17" s="25">
        <v>0.57721790067928169</v>
      </c>
    </row>
    <row r="18" spans="2:26" x14ac:dyDescent="0.4">
      <c r="B18" s="53">
        <v>17</v>
      </c>
      <c r="C18" s="91">
        <f>(輸入面板!$G$3*3/12+五股收盤價與其他數據彙總!$P$4*模擬股票報酬!$N76)*12/3</f>
        <v>9.8403232031821983E-3</v>
      </c>
      <c r="D18" s="91">
        <f>(輸入面板!$H$3*3/12+五股收盤價與其他數據彙總!$Q$4*模擬股票報酬!$O76)*12/3</f>
        <v>0.12872784640830609</v>
      </c>
      <c r="E18" s="91">
        <f>(輸入面板!$I$3*3/12+五股收盤價與其他數據彙總!$R$4*模擬股票報酬!$P76)*12/3</f>
        <v>2.7902630696617595E-2</v>
      </c>
      <c r="F18" s="91">
        <f>(輸入面板!$J$3*3/12+五股收盤價與其他數據彙總!$S$4*模擬股票報酬!$Q76)*12/3</f>
        <v>-1.1582263974594567E-2</v>
      </c>
      <c r="G18" s="61">
        <f>(輸入面板!$K$3*3/12+五股收盤價與其他數據彙總!$T$4*模擬股票報酬!$R76)*12/3</f>
        <v>9.3923126316786121E-3</v>
      </c>
      <c r="M18" s="29">
        <v>17</v>
      </c>
      <c r="N18" s="91">
        <v>-0.14400312234758403</v>
      </c>
      <c r="O18" s="91">
        <v>0.41246505784714899</v>
      </c>
      <c r="P18" s="91">
        <v>-0.68175518749493347</v>
      </c>
      <c r="Q18" s="91">
        <v>-1.4748400112232352</v>
      </c>
      <c r="R18" s="35">
        <v>5.5524098343476873E-2</v>
      </c>
      <c r="U18" s="19">
        <v>17</v>
      </c>
      <c r="V18" s="91">
        <v>0.44274900203008127</v>
      </c>
      <c r="W18" s="91">
        <v>0.66000070658750665</v>
      </c>
      <c r="X18" s="91">
        <v>0.24769688230376707</v>
      </c>
      <c r="Y18" s="91">
        <v>7.0127780693412189E-2</v>
      </c>
      <c r="Z18" s="25">
        <v>0.52213953407066271</v>
      </c>
    </row>
    <row r="19" spans="2:26" x14ac:dyDescent="0.4">
      <c r="B19" s="53">
        <v>18</v>
      </c>
      <c r="C19" s="91">
        <f>(輸入面板!$G$3*3/12+五股收盤價與其他數據彙總!$P$4*模擬股票報酬!$N77)*12/3</f>
        <v>2.5749161648126795E-2</v>
      </c>
      <c r="D19" s="91">
        <f>(輸入面板!$H$3*3/12+五股收盤價與其他數據彙總!$Q$4*模擬股票報酬!$O77)*12/3</f>
        <v>-2.7042035549969132E-2</v>
      </c>
      <c r="E19" s="91">
        <f>(輸入面板!$I$3*3/12+五股收盤價與其他數據彙總!$R$4*模擬股票報酬!$P77)*12/3</f>
        <v>-1.7954075329318642E-3</v>
      </c>
      <c r="F19" s="91">
        <f>(輸入面板!$J$3*3/12+五股收盤價與其他數據彙總!$S$4*模擬股票報酬!$Q77)*12/3</f>
        <v>6.2333295082312098E-3</v>
      </c>
      <c r="G19" s="61">
        <f>(輸入面板!$K$3*3/12+五股收盤價與其他數據彙總!$T$4*模擬股票報酬!$R77)*12/3</f>
        <v>-1.4411420458222966E-2</v>
      </c>
      <c r="M19" s="29">
        <v>18</v>
      </c>
      <c r="N19" s="91">
        <v>0.30000189951894402</v>
      </c>
      <c r="O19" s="91">
        <v>-1.7354152416239739</v>
      </c>
      <c r="P19" s="91">
        <v>-1.0507746187546676</v>
      </c>
      <c r="Q19" s="91">
        <v>0.42267674352556339</v>
      </c>
      <c r="R19" s="35">
        <v>-0.79717185193626916</v>
      </c>
      <c r="U19" s="19">
        <v>18</v>
      </c>
      <c r="V19" s="91">
        <v>0.61791214664212668</v>
      </c>
      <c r="W19" s="91">
        <v>4.1333641170840707E-2</v>
      </c>
      <c r="X19" s="91">
        <v>0.14668105777352958</v>
      </c>
      <c r="Y19" s="91">
        <v>0.66373443709605984</v>
      </c>
      <c r="Z19" s="25">
        <v>0.21267561562283244</v>
      </c>
    </row>
    <row r="20" spans="2:26" x14ac:dyDescent="0.4">
      <c r="B20" s="53">
        <v>19</v>
      </c>
      <c r="C20" s="91">
        <f>(輸入面板!$G$3*3/12+五股收盤價與其他數據彙總!$P$4*模擬股票報酬!$N78)*12/3</f>
        <v>-1.0207637021267507E-2</v>
      </c>
      <c r="D20" s="91">
        <f>(輸入面板!$H$3*3/12+五股收盤價與其他數據彙總!$Q$4*模擬股票報酬!$O78)*12/3</f>
        <v>8.0769812820569858E-2</v>
      </c>
      <c r="E20" s="91">
        <f>(輸入面板!$I$3*3/12+五股收盤價與其他數據彙總!$R$4*模擬股票報酬!$P78)*12/3</f>
        <v>8.2676664767033364E-2</v>
      </c>
      <c r="F20" s="91">
        <f>(輸入面板!$J$3*3/12+五股收盤價與其他數據彙總!$S$4*模擬股票報酬!$Q78)*12/3</f>
        <v>7.0927126750085834E-2</v>
      </c>
      <c r="G20" s="61">
        <f>(輸入面板!$K$3*3/12+五股收盤價與其他數據彙總!$T$4*模擬股票報酬!$R78)*12/3</f>
        <v>1.7870513059638701E-3</v>
      </c>
      <c r="M20" s="29">
        <v>19</v>
      </c>
      <c r="N20" s="91">
        <v>-0.70352825981383971</v>
      </c>
      <c r="O20" s="91">
        <v>-6.5650042472069847E-2</v>
      </c>
      <c r="P20" s="91">
        <v>1.782250367279586</v>
      </c>
      <c r="Q20" s="91">
        <v>0.51134062837643912</v>
      </c>
      <c r="R20" s="35">
        <v>-0.82800075266482953</v>
      </c>
      <c r="U20" s="19">
        <v>19</v>
      </c>
      <c r="V20" s="91">
        <v>0.24086330087587959</v>
      </c>
      <c r="W20" s="91">
        <v>0.47382822344240982</v>
      </c>
      <c r="X20" s="91">
        <v>0.96264579373247772</v>
      </c>
      <c r="Y20" s="91">
        <v>0.69544371968953089</v>
      </c>
      <c r="Z20" s="25">
        <v>0.20383503682019444</v>
      </c>
    </row>
    <row r="21" spans="2:26" x14ac:dyDescent="0.4">
      <c r="B21" s="53">
        <v>20</v>
      </c>
      <c r="C21" s="91">
        <f>(輸入面板!$G$3*3/12+五股收盤價與其他數據彙總!$P$4*模擬股票報酬!$N79)*12/3</f>
        <v>4.0243481663555174E-2</v>
      </c>
      <c r="D21" s="91">
        <f>(輸入面板!$H$3*3/12+五股收盤價與其他數據彙總!$Q$4*模擬股票報酬!$O79)*12/3</f>
        <v>0.2112937859647378</v>
      </c>
      <c r="E21" s="91">
        <f>(輸入面板!$I$3*3/12+五股收盤價與其他數據彙總!$R$4*模擬股票報酬!$P79)*12/3</f>
        <v>6.9380943468011255E-2</v>
      </c>
      <c r="F21" s="91">
        <f>(輸入面板!$J$3*3/12+五股收盤價與其他數據彙總!$S$4*模擬股票報酬!$Q79)*12/3</f>
        <v>6.7165967326116197E-2</v>
      </c>
      <c r="G21" s="61">
        <f>(輸入面板!$K$3*3/12+五股收盤價與其他數據彙總!$T$4*模擬股票報酬!$R79)*12/3</f>
        <v>2.3729410469552948E-2</v>
      </c>
      <c r="M21" s="29">
        <v>20</v>
      </c>
      <c r="N21" s="91">
        <v>0.70452865976370471</v>
      </c>
      <c r="O21" s="91">
        <v>1.2657946940695743</v>
      </c>
      <c r="P21" s="91">
        <v>0.35566653330241194</v>
      </c>
      <c r="Q21" s="91">
        <v>0.74898086931429453</v>
      </c>
      <c r="R21" s="35">
        <v>0.29927763333020241</v>
      </c>
      <c r="U21" s="19">
        <v>20</v>
      </c>
      <c r="V21" s="91">
        <v>0.75944819576627109</v>
      </c>
      <c r="W21" s="91">
        <v>0.89720670238938061</v>
      </c>
      <c r="X21" s="91">
        <v>0.63895484458585594</v>
      </c>
      <c r="Y21" s="91">
        <v>0.77306563196008504</v>
      </c>
      <c r="Z21" s="25">
        <v>0.61763589051260182</v>
      </c>
    </row>
    <row r="22" spans="2:26" x14ac:dyDescent="0.4">
      <c r="B22" s="53">
        <v>21</v>
      </c>
      <c r="C22" s="91">
        <f>(輸入面板!$G$3*3/12+五股收盤價與其他數據彙總!$P$4*模擬股票報酬!$N80)*12/3</f>
        <v>5.6640373229308989E-2</v>
      </c>
      <c r="D22" s="91">
        <f>(輸入面板!$H$3*3/12+五股收盤價與其他數據彙總!$Q$4*模擬股票報酬!$O80)*12/3</f>
        <v>-2.1555123807200927E-3</v>
      </c>
      <c r="E22" s="91">
        <f>(輸入面板!$I$3*3/12+五股收盤價與其他數據彙總!$R$4*模擬股票報酬!$P80)*12/3</f>
        <v>1.4112749753516188E-2</v>
      </c>
      <c r="F22" s="91">
        <f>(輸入面板!$J$3*3/12+五股收盤價與其他數據彙總!$S$4*模擬股票報酬!$Q80)*12/3</f>
        <v>-3.1923871776200458E-2</v>
      </c>
      <c r="G22" s="61">
        <f>(輸入面板!$K$3*3/12+五股收盤價與其他數據彙總!$T$4*模擬股票報酬!$R80)*12/3</f>
        <v>3.6914294106657579E-2</v>
      </c>
      <c r="M22" s="29">
        <v>21</v>
      </c>
      <c r="N22" s="91">
        <v>1.1621549172299812</v>
      </c>
      <c r="O22" s="91">
        <v>-1.6377452089753222</v>
      </c>
      <c r="P22" s="91">
        <v>-0.69321360957029676</v>
      </c>
      <c r="Q22" s="91">
        <v>-2.2011500287010959</v>
      </c>
      <c r="R22" s="35">
        <v>0.82910533932404928</v>
      </c>
      <c r="U22" s="19">
        <v>21</v>
      </c>
      <c r="V22" s="91">
        <v>0.87741372827406461</v>
      </c>
      <c r="W22" s="91">
        <v>5.073742776267931E-2</v>
      </c>
      <c r="X22" s="91">
        <v>0.24408775429372476</v>
      </c>
      <c r="Y22" s="91">
        <v>1.3862702288284012E-2</v>
      </c>
      <c r="Z22" s="25">
        <v>0.79647759864246526</v>
      </c>
    </row>
    <row r="23" spans="2:26" x14ac:dyDescent="0.4">
      <c r="B23" s="53">
        <v>22</v>
      </c>
      <c r="C23" s="91">
        <f>(輸入面板!$G$3*3/12+五股收盤價與其他數據彙總!$P$4*模擬股票報酬!$N81)*12/3</f>
        <v>-1.3224508470110785E-2</v>
      </c>
      <c r="D23" s="91">
        <f>(輸入面板!$H$3*3/12+五股收盤價與其他數據彙總!$Q$4*模擬股票報酬!$O81)*12/3</f>
        <v>3.5922326161566348E-2</v>
      </c>
      <c r="E23" s="91">
        <f>(輸入面板!$I$3*3/12+五股收盤價與其他數據彙總!$R$4*模擬股票報酬!$P81)*12/3</f>
        <v>7.2835241933773207E-2</v>
      </c>
      <c r="F23" s="91">
        <f>(輸入面板!$J$3*3/12+五股收盤價與其他數據彙總!$S$4*模擬股票報酬!$Q81)*12/3</f>
        <v>3.7813543833865197E-2</v>
      </c>
      <c r="G23" s="61">
        <f>(輸入面板!$K$3*3/12+五股收盤價與其他數據彙總!$T$4*模擬股票報酬!$R81)*12/3</f>
        <v>3.0162553424857089E-2</v>
      </c>
      <c r="M23" s="29">
        <v>22</v>
      </c>
      <c r="N23" s="91">
        <v>-0.78772712060733918</v>
      </c>
      <c r="O23" s="91">
        <v>-0.62826005604986923</v>
      </c>
      <c r="P23" s="91">
        <v>1.6564359094064307</v>
      </c>
      <c r="Q23" s="91">
        <v>-0.76633447463058213</v>
      </c>
      <c r="R23" s="35">
        <v>0.28559855949241597</v>
      </c>
      <c r="U23" s="19">
        <v>22</v>
      </c>
      <c r="V23" s="91">
        <v>0.21542816917322671</v>
      </c>
      <c r="W23" s="91">
        <v>0.26491679695117099</v>
      </c>
      <c r="X23" s="91">
        <v>0.95118321296171326</v>
      </c>
      <c r="Y23" s="91">
        <v>0.22173865519811931</v>
      </c>
      <c r="Z23" s="25">
        <v>0.61240719655860509</v>
      </c>
    </row>
    <row r="24" spans="2:26" x14ac:dyDescent="0.4">
      <c r="B24" s="53">
        <v>23</v>
      </c>
      <c r="C24" s="91">
        <f>(輸入面板!$G$3*3/12+五股收盤價與其他數據彙總!$P$4*模擬股票報酬!$N82)*12/3</f>
        <v>1.8483489817658454E-2</v>
      </c>
      <c r="D24" s="91">
        <f>(輸入面板!$H$3*3/12+五股收盤價與其他數據彙總!$Q$4*模擬股票報酬!$O82)*12/3</f>
        <v>0.15309858249138911</v>
      </c>
      <c r="E24" s="91">
        <f>(輸入面板!$I$3*3/12+五股收盤價與其他數據彙總!$R$4*模擬股票報酬!$P82)*12/3</f>
        <v>5.3337388222026473E-2</v>
      </c>
      <c r="F24" s="91">
        <f>(輸入面板!$J$3*3/12+五股收盤價與其他數據彙總!$S$4*模擬股票報酬!$Q82)*12/3</f>
        <v>5.3832608755758377E-2</v>
      </c>
      <c r="G24" s="61">
        <f>(輸入面板!$K$3*3/12+五股收盤價與其他數據彙總!$T$4*模擬股票報酬!$R82)*12/3</f>
        <v>3.0363604907259922E-2</v>
      </c>
      <c r="M24" s="29">
        <v>23</v>
      </c>
      <c r="N24" s="91">
        <v>9.7221866826661077E-2</v>
      </c>
      <c r="O24" s="91">
        <v>0.66676900103477676</v>
      </c>
      <c r="P24" s="91">
        <v>0.13711944311446542</v>
      </c>
      <c r="Q24" s="91">
        <v>0.76053627593385265</v>
      </c>
      <c r="R24" s="35">
        <v>0.74779045020338852</v>
      </c>
      <c r="U24" s="19">
        <v>23</v>
      </c>
      <c r="V24" s="91">
        <v>0.53872489845684224</v>
      </c>
      <c r="W24" s="91">
        <v>0.74754015184771361</v>
      </c>
      <c r="X24" s="91">
        <v>0.55453180787815226</v>
      </c>
      <c r="Y24" s="91">
        <v>0.7765329529754228</v>
      </c>
      <c r="Z24" s="25">
        <v>0.77270671838876481</v>
      </c>
    </row>
    <row r="25" spans="2:26" x14ac:dyDescent="0.4">
      <c r="B25" s="53">
        <v>24</v>
      </c>
      <c r="C25" s="91">
        <f>(輸入面板!$G$3*3/12+五股收盤價與其他數據彙總!$P$4*模擬股票報酬!$N83)*12/3</f>
        <v>6.5609312482865126E-2</v>
      </c>
      <c r="D25" s="91">
        <f>(輸入面板!$H$3*3/12+五股收盤價與其他數據彙總!$Q$4*模擬股票報酬!$O83)*12/3</f>
        <v>4.2604007510812704E-2</v>
      </c>
      <c r="E25" s="91">
        <f>(輸入面板!$I$3*3/12+五股收盤價與其他數據彙總!$R$4*模擬股票報酬!$P83)*12/3</f>
        <v>6.1245457205079817E-3</v>
      </c>
      <c r="F25" s="91">
        <f>(輸入面板!$J$3*3/12+五股收盤價與其他數據彙總!$S$4*模擬股票報酬!$Q83)*12/3</f>
        <v>4.8205496492034074E-2</v>
      </c>
      <c r="G25" s="61">
        <f>(輸入面板!$K$3*3/12+五股收盤價與其他數據彙總!$T$4*模擬股票報酬!$R83)*12/3</f>
        <v>1.4418875233842646E-2</v>
      </c>
      <c r="M25" s="29">
        <v>24</v>
      </c>
      <c r="N25" s="91">
        <v>1.412472002488975</v>
      </c>
      <c r="O25" s="91">
        <v>-1.1199860282535512</v>
      </c>
      <c r="P25" s="91">
        <v>-1.2819052306014314</v>
      </c>
      <c r="Q25" s="91">
        <v>2.0976348175695096</v>
      </c>
      <c r="R25" s="35">
        <v>0.35761970976084728</v>
      </c>
      <c r="U25" s="19">
        <v>24</v>
      </c>
      <c r="V25" s="91">
        <v>0.9210944856206027</v>
      </c>
      <c r="W25" s="91">
        <v>0.13135985801411776</v>
      </c>
      <c r="X25" s="91">
        <v>9.9937946437397951E-2</v>
      </c>
      <c r="Y25" s="91">
        <v>0.98203129152732171</v>
      </c>
      <c r="Z25" s="25">
        <v>0.63968603685648984</v>
      </c>
    </row>
    <row r="26" spans="2:26" x14ac:dyDescent="0.4">
      <c r="B26" s="53">
        <v>25</v>
      </c>
      <c r="C26" s="91">
        <f>(輸入面板!$G$3*3/12+五股收盤價與其他數據彙總!$P$4*模擬股票報酬!$N84)*12/3</f>
        <v>-4.2686207603572147E-2</v>
      </c>
      <c r="D26" s="91">
        <f>(輸入面板!$H$3*3/12+五股收盤價與其他數據彙總!$Q$4*模擬股票報酬!$O84)*12/3</f>
        <v>7.7468293982511482E-2</v>
      </c>
      <c r="E26" s="91">
        <f>(輸入面板!$I$3*3/12+五股收盤價與其他數據彙總!$R$4*模擬股票報酬!$P84)*12/3</f>
        <v>6.1562988663842383E-2</v>
      </c>
      <c r="F26" s="91">
        <f>(輸入面板!$J$3*3/12+五股收盤價與其他數據彙總!$S$4*模擬股票報酬!$Q84)*12/3</f>
        <v>5.3484008685452639E-2</v>
      </c>
      <c r="G26" s="61">
        <f>(輸入面板!$K$3*3/12+五股收盤價與其他數據彙總!$T$4*模擬股票報酬!$R84)*12/3</f>
        <v>3.5298207879997962E-2</v>
      </c>
      <c r="M26" s="29">
        <v>25</v>
      </c>
      <c r="N26" s="91">
        <v>-1.6099834036947085</v>
      </c>
      <c r="O26" s="91">
        <v>0.12977998091282347</v>
      </c>
      <c r="P26" s="91">
        <v>1.1120591839742795</v>
      </c>
      <c r="Q26" s="91">
        <v>0.5940456601682319</v>
      </c>
      <c r="R26" s="35">
        <v>0.94160637017211901</v>
      </c>
      <c r="U26" s="19">
        <v>25</v>
      </c>
      <c r="V26" s="91">
        <v>5.3700739738141268E-2</v>
      </c>
      <c r="W26" s="91">
        <v>0.55162974906733075</v>
      </c>
      <c r="X26" s="91">
        <v>0.86694364777950494</v>
      </c>
      <c r="Y26" s="91">
        <v>0.7237592129953756</v>
      </c>
      <c r="Z26" s="25">
        <v>0.82680289642992522</v>
      </c>
    </row>
    <row r="27" spans="2:26" x14ac:dyDescent="0.4">
      <c r="B27" s="53">
        <v>26</v>
      </c>
      <c r="C27" s="91">
        <f>(輸入面板!$G$3*3/12+五股收盤價與其他數據彙總!$P$4*模擬股票報酬!$N85)*12/3</f>
        <v>-2.2392660083794352E-2</v>
      </c>
      <c r="D27" s="91">
        <f>(輸入面板!$H$3*3/12+五股收盤價與其他數據彙總!$Q$4*模擬股票報酬!$O85)*12/3</f>
        <v>-1.0625286429405134E-2</v>
      </c>
      <c r="E27" s="91">
        <f>(輸入面板!$I$3*3/12+五股收盤價與其他數據彙總!$R$4*模擬股票報酬!$P85)*12/3</f>
        <v>5.8828991240678453E-2</v>
      </c>
      <c r="F27" s="91">
        <f>(輸入面板!$J$3*3/12+五股收盤價與其他數據彙總!$S$4*模擬股票報酬!$Q85)*12/3</f>
        <v>-3.2284490607829008E-3</v>
      </c>
      <c r="G27" s="61">
        <f>(輸入面板!$K$3*3/12+五股收盤價與其他數據彙總!$T$4*模擬股票報酬!$R85)*12/3</f>
        <v>2.0096152332408836E-2</v>
      </c>
      <c r="M27" s="29">
        <v>26</v>
      </c>
      <c r="N27" s="91">
        <v>-1.0436040893625771</v>
      </c>
      <c r="O27" s="91">
        <v>-1.1678712515029628</v>
      </c>
      <c r="P27" s="91">
        <v>1.4030931635763111</v>
      </c>
      <c r="Q27" s="91">
        <v>-2.2526230621325336</v>
      </c>
      <c r="R27" s="35">
        <v>-0.10160228051079931</v>
      </c>
      <c r="U27" s="19">
        <v>26</v>
      </c>
      <c r="V27" s="91">
        <v>0.14833430007066606</v>
      </c>
      <c r="W27" s="91">
        <v>0.12142935097748375</v>
      </c>
      <c r="X27" s="91">
        <v>0.91970547023997629</v>
      </c>
      <c r="Y27" s="91">
        <v>1.2141462869800002E-2</v>
      </c>
      <c r="Z27" s="25">
        <v>0.45953618461669898</v>
      </c>
    </row>
    <row r="28" spans="2:26" x14ac:dyDescent="0.4">
      <c r="B28" s="53">
        <v>27</v>
      </c>
      <c r="C28" s="91">
        <f>(輸入面板!$G$3*3/12+五股收盤價與其他數據彙總!$P$4*模擬股票報酬!$N86)*12/3</f>
        <v>2.8139250131205506E-2</v>
      </c>
      <c r="D28" s="91">
        <f>(輸入面板!$H$3*3/12+五股收盤價與其他數據彙總!$Q$4*模擬股票報酬!$O86)*12/3</f>
        <v>0.12800910048334446</v>
      </c>
      <c r="E28" s="91">
        <f>(輸入面板!$I$3*3/12+五股收盤價與其他數據彙總!$R$4*模擬股票報酬!$P86)*12/3</f>
        <v>2.1241746601382849E-2</v>
      </c>
      <c r="F28" s="91">
        <f>(輸入面板!$J$3*3/12+五股收盤價與其他數據彙總!$S$4*模擬股票報酬!$Q86)*12/3</f>
        <v>1.5646964294136409E-2</v>
      </c>
      <c r="G28" s="61">
        <f>(輸入面板!$K$3*3/12+五股收盤價與其他數據彙總!$T$4*模擬股票報酬!$R86)*12/3</f>
        <v>-1.8516830237726545E-2</v>
      </c>
      <c r="M28" s="29">
        <v>27</v>
      </c>
      <c r="N28" s="91">
        <v>0.36670766769081981</v>
      </c>
      <c r="O28" s="91">
        <v>0.26873111792765975</v>
      </c>
      <c r="P28" s="91">
        <v>-1.0094428652604994</v>
      </c>
      <c r="Q28" s="91">
        <v>7.5075667910769694E-2</v>
      </c>
      <c r="R28" s="35">
        <v>-0.97115678560510477</v>
      </c>
      <c r="U28" s="19">
        <v>27</v>
      </c>
      <c r="V28" s="91">
        <v>0.64308145677583206</v>
      </c>
      <c r="W28" s="91">
        <v>0.60593169815504555</v>
      </c>
      <c r="X28" s="91">
        <v>0.15638114480982757</v>
      </c>
      <c r="Y28" s="91">
        <v>0.52992274631430569</v>
      </c>
      <c r="Z28" s="25">
        <v>0.16573510485629295</v>
      </c>
    </row>
    <row r="29" spans="2:26" x14ac:dyDescent="0.4">
      <c r="B29" s="53">
        <v>28</v>
      </c>
      <c r="C29" s="91">
        <f>(輸入面板!$G$3*3/12+五股收盤價與其他數據彙總!$P$4*模擬股票報酬!$N87)*12/3</f>
        <v>1.6723544391660315E-2</v>
      </c>
      <c r="D29" s="91">
        <f>(輸入面板!$H$3*3/12+五股收盤價與其他數據彙總!$Q$4*模擬股票報酬!$O87)*12/3</f>
        <v>0.140028304080177</v>
      </c>
      <c r="E29" s="91">
        <f>(輸入面板!$I$3*3/12+五股收盤價與其他數據彙總!$R$4*模擬股票報酬!$P87)*12/3</f>
        <v>6.745084914322709E-2</v>
      </c>
      <c r="F29" s="91">
        <f>(輸入面板!$J$3*3/12+五股收盤價與其他數據彙總!$S$4*模擬股票報酬!$Q87)*12/3</f>
        <v>4.4441499593147395E-2</v>
      </c>
      <c r="G29" s="61">
        <f>(輸入面板!$K$3*3/12+五股收盤價與其他數據彙總!$T$4*模擬股票報酬!$R87)*12/3</f>
        <v>2.1299828623241517E-2</v>
      </c>
      <c r="M29" s="29">
        <v>28</v>
      </c>
      <c r="N29" s="91">
        <v>4.8102969173733148E-2</v>
      </c>
      <c r="O29" s="91">
        <v>0.50926960953852329</v>
      </c>
      <c r="P29" s="91">
        <v>0.76222323876301235</v>
      </c>
      <c r="Q29" s="91">
        <v>-0.26585086870296259</v>
      </c>
      <c r="R29" s="35">
        <v>0.11199281476814402</v>
      </c>
      <c r="U29" s="19">
        <v>28</v>
      </c>
      <c r="V29" s="91">
        <v>0.5191829100557892</v>
      </c>
      <c r="W29" s="91">
        <v>0.69471837162053962</v>
      </c>
      <c r="X29" s="91">
        <v>0.77703661068924856</v>
      </c>
      <c r="Y29" s="91">
        <v>0.39517703242025992</v>
      </c>
      <c r="Z29" s="25">
        <v>0.54458544814271703</v>
      </c>
    </row>
    <row r="30" spans="2:26" x14ac:dyDescent="0.4">
      <c r="B30" s="53">
        <v>29</v>
      </c>
      <c r="C30" s="91">
        <f>(輸入面板!$G$3*3/12+五股收盤價與其他數據彙總!$P$4*模擬股票報酬!$N88)*12/3</f>
        <v>1.7677734612669298E-2</v>
      </c>
      <c r="D30" s="91">
        <f>(輸入面板!$H$3*3/12+五股收盤價與其他數據彙總!$Q$4*模擬股票報酬!$O88)*12/3</f>
        <v>0.10556147581143621</v>
      </c>
      <c r="E30" s="91">
        <f>(輸入面板!$I$3*3/12+五股收盤價與其他數據彙總!$R$4*模擬股票報酬!$P88)*12/3</f>
        <v>5.4820384582240443E-2</v>
      </c>
      <c r="F30" s="91">
        <f>(輸入面板!$J$3*3/12+五股收盤價與其他數據彙總!$S$4*模擬股票報酬!$Q88)*12/3</f>
        <v>2.6446199815694803E-2</v>
      </c>
      <c r="G30" s="61">
        <f>(輸入面板!$K$3*3/12+五股收盤價與其他數據彙總!$T$4*模擬股票報酬!$R88)*12/3</f>
        <v>-4.7933353549363768E-2</v>
      </c>
      <c r="M30" s="29">
        <v>29</v>
      </c>
      <c r="N30" s="91">
        <v>7.473377892204322E-2</v>
      </c>
      <c r="O30" s="91">
        <v>5.2853894420327119E-2</v>
      </c>
      <c r="P30" s="91">
        <v>0.45599665743193479</v>
      </c>
      <c r="Q30" s="91">
        <v>-0.68898751754434562</v>
      </c>
      <c r="R30" s="35">
        <v>-2.6456147085272286</v>
      </c>
      <c r="U30" s="19">
        <v>29</v>
      </c>
      <c r="V30" s="91">
        <v>0.52978673443997759</v>
      </c>
      <c r="W30" s="91">
        <v>0.52107584003177809</v>
      </c>
      <c r="X30" s="91">
        <v>0.67580380907642468</v>
      </c>
      <c r="Y30" s="91">
        <v>0.24541556138602272</v>
      </c>
      <c r="Z30" s="25">
        <v>4.077131746708984E-3</v>
      </c>
    </row>
    <row r="31" spans="2:26" x14ac:dyDescent="0.4">
      <c r="B31" s="53">
        <v>30</v>
      </c>
      <c r="C31" s="91">
        <f>(輸入面板!$G$3*3/12+五股收盤價與其他數據彙總!$P$4*模擬股票報酬!$N89)*12/3</f>
        <v>-1.0809721468353592E-2</v>
      </c>
      <c r="D31" s="91">
        <f>(輸入面板!$H$3*3/12+五股收盤價與其他數據彙總!$Q$4*模擬股票報酬!$O89)*12/3</f>
        <v>9.926345438724743E-2</v>
      </c>
      <c r="E31" s="91">
        <f>(輸入面板!$I$3*3/12+五股收盤價與其他數據彙總!$R$4*模擬股票報酬!$P89)*12/3</f>
        <v>-2.3022769010597466E-3</v>
      </c>
      <c r="F31" s="91">
        <f>(輸入面板!$J$3*3/12+五股收盤價與其他數據彙總!$S$4*模擬股票報酬!$Q89)*12/3</f>
        <v>-7.1026129242361818E-3</v>
      </c>
      <c r="G31" s="61">
        <f>(輸入面板!$K$3*3/12+五股收盤價與其他數據彙總!$T$4*模擬股票報酬!$R89)*12/3</f>
        <v>4.0323508935659769E-3</v>
      </c>
      <c r="M31" s="29">
        <v>30</v>
      </c>
      <c r="N31" s="91">
        <v>-0.72033203332748064</v>
      </c>
      <c r="O31" s="91">
        <v>0.17990754233908449</v>
      </c>
      <c r="P31" s="91">
        <v>-1.6097032849313131</v>
      </c>
      <c r="Q31" s="91">
        <v>-3.2558846329240939E-3</v>
      </c>
      <c r="R31" s="35">
        <v>0.34848389563624399</v>
      </c>
      <c r="U31" s="19">
        <v>30</v>
      </c>
      <c r="V31" s="91">
        <v>0.23566029311996028</v>
      </c>
      <c r="W31" s="91">
        <v>0.57138742305618861</v>
      </c>
      <c r="X31" s="91">
        <v>5.373132374876044E-2</v>
      </c>
      <c r="Y31" s="91">
        <v>0.49870109225472459</v>
      </c>
      <c r="Z31" s="25">
        <v>0.63626159689903417</v>
      </c>
    </row>
    <row r="32" spans="2:26" x14ac:dyDescent="0.4">
      <c r="B32" s="53">
        <v>31</v>
      </c>
      <c r="C32" s="91">
        <f>(輸入面板!$G$3*3/12+五股收盤價與其他數據彙總!$P$4*模擬股票報酬!$N90)*12/3</f>
        <v>6.5697510082141725E-2</v>
      </c>
      <c r="D32" s="91">
        <f>(輸入面板!$H$3*3/12+五股收盤價與其他數據彙總!$Q$4*模擬股票報酬!$O90)*12/3</f>
        <v>6.5657682236807319E-2</v>
      </c>
      <c r="E32" s="91">
        <f>(輸入面板!$I$3*3/12+五股收盤價與其他數據彙總!$R$4*模擬股票報酬!$P90)*12/3</f>
        <v>6.4504102565111909E-3</v>
      </c>
      <c r="F32" s="91">
        <f>(輸入面板!$J$3*3/12+五股收盤價與其他數據彙總!$S$4*模擬股票報酬!$Q90)*12/3</f>
        <v>-1.1939662636079082E-2</v>
      </c>
      <c r="G32" s="61">
        <f>(輸入面板!$K$3*3/12+五股收盤價與其他數據彙總!$T$4*模擬股票報酬!$R90)*12/3</f>
        <v>1.2993515386901347E-2</v>
      </c>
      <c r="M32" s="29">
        <v>31</v>
      </c>
      <c r="N32" s="91">
        <v>1.4149335383912285</v>
      </c>
      <c r="O32" s="91">
        <v>-0.82003912461275208</v>
      </c>
      <c r="P32" s="91">
        <v>-1.3948263559154201</v>
      </c>
      <c r="Q32" s="91">
        <v>-0.89312964553020213</v>
      </c>
      <c r="R32" s="35">
        <v>0.14204743210540163</v>
      </c>
      <c r="U32" s="19">
        <v>31</v>
      </c>
      <c r="V32" s="91">
        <v>0.92145600828748297</v>
      </c>
      <c r="W32" s="91">
        <v>0.20609690182755713</v>
      </c>
      <c r="X32" s="91">
        <v>8.1534104547532626E-2</v>
      </c>
      <c r="Y32" s="91">
        <v>0.185893874414228</v>
      </c>
      <c r="Z32" s="25">
        <v>0.55647872994609471</v>
      </c>
    </row>
    <row r="33" spans="2:26" x14ac:dyDescent="0.4">
      <c r="B33" s="53">
        <v>32</v>
      </c>
      <c r="C33" s="91">
        <f>(輸入面板!$G$3*3/12+五股收盤價與其他數據彙總!$P$4*模擬股票報酬!$N91)*12/3</f>
        <v>2.4128386882133184E-3</v>
      </c>
      <c r="D33" s="91">
        <f>(輸入面板!$H$3*3/12+五股收盤價與其他數據彙總!$Q$4*模擬股票報酬!$O91)*12/3</f>
        <v>0.2207603551247781</v>
      </c>
      <c r="E33" s="91">
        <f>(輸入面板!$I$3*3/12+五股收盤價與其他數據彙總!$R$4*模擬股票報酬!$P91)*12/3</f>
        <v>5.2446415805265913E-2</v>
      </c>
      <c r="F33" s="91">
        <f>(輸入面板!$J$3*3/12+五股收盤價與其他數據彙總!$S$4*模擬股票報酬!$Q91)*12/3</f>
        <v>4.6734361141591248E-2</v>
      </c>
      <c r="G33" s="61">
        <f>(輸入面板!$K$3*3/12+五股收盤價與其他數據彙總!$T$4*模擬股票報酬!$R91)*12/3</f>
        <v>-1.326422272946298E-2</v>
      </c>
      <c r="M33" s="29">
        <v>32</v>
      </c>
      <c r="N33" s="91">
        <v>-0.35129923864764129</v>
      </c>
      <c r="O33" s="91">
        <v>1.6670048082702875</v>
      </c>
      <c r="P33" s="91">
        <v>-0.20040454317220094</v>
      </c>
      <c r="Q33" s="91">
        <v>0.54615306185080847</v>
      </c>
      <c r="R33" s="35">
        <v>-0.82016834264041161</v>
      </c>
      <c r="U33" s="19">
        <v>32</v>
      </c>
      <c r="V33" s="91">
        <v>0.36268193303120611</v>
      </c>
      <c r="W33" s="91">
        <v>0.95224327560906774</v>
      </c>
      <c r="X33" s="91">
        <v>0.42058210331276835</v>
      </c>
      <c r="Y33" s="91">
        <v>0.70751963600617951</v>
      </c>
      <c r="Z33" s="25">
        <v>0.20606007312454921</v>
      </c>
    </row>
    <row r="34" spans="2:26" x14ac:dyDescent="0.4">
      <c r="B34" s="53">
        <v>33</v>
      </c>
      <c r="C34" s="91">
        <f>(輸入面板!$G$3*3/12+五股收盤價與其他數據彙總!$P$4*模擬股票報酬!$N92)*12/3</f>
        <v>1.6619058350946268E-2</v>
      </c>
      <c r="D34" s="91">
        <f>(輸入面板!$H$3*3/12+五股收盤價與其他數據彙總!$Q$4*模擬股票報酬!$O92)*12/3</f>
        <v>0.17298452315787305</v>
      </c>
      <c r="E34" s="91">
        <f>(輸入面板!$I$3*3/12+五股收盤價與其他數據彙總!$R$4*模擬股票報酬!$P92)*12/3</f>
        <v>0.10547226452572393</v>
      </c>
      <c r="F34" s="91">
        <f>(輸入面板!$J$3*3/12+五股收盤價與其他數據彙總!$S$4*模擬股票報酬!$Q92)*12/3</f>
        <v>7.9130705810665808E-2</v>
      </c>
      <c r="G34" s="61">
        <f>(輸入面板!$K$3*3/12+五股收盤價與其他數據彙總!$T$4*模擬股票報酬!$R92)*12/3</f>
        <v>4.2381194925136846E-2</v>
      </c>
      <c r="M34" s="29">
        <v>33</v>
      </c>
      <c r="N34" s="91">
        <v>4.5186833784431321E-2</v>
      </c>
      <c r="O34" s="91">
        <v>0.93974958090964089</v>
      </c>
      <c r="P34" s="91">
        <v>2.0574434417000558</v>
      </c>
      <c r="Q34" s="91">
        <v>-1.821923008305136E-2</v>
      </c>
      <c r="R34" s="35">
        <v>0.57110677632081386</v>
      </c>
      <c r="U34" s="19">
        <v>33</v>
      </c>
      <c r="V34" s="91">
        <v>0.51802080567530773</v>
      </c>
      <c r="W34" s="91">
        <v>0.82632698679407612</v>
      </c>
      <c r="X34" s="91">
        <v>0.98017820496863561</v>
      </c>
      <c r="Y34" s="91">
        <v>0.49273198089719461</v>
      </c>
      <c r="Z34" s="25">
        <v>0.7160363672693304</v>
      </c>
    </row>
    <row r="35" spans="2:26" x14ac:dyDescent="0.4">
      <c r="B35" s="53">
        <v>34</v>
      </c>
      <c r="C35" s="91">
        <f>(輸入面板!$G$3*3/12+五股收盤價與其他數據彙總!$P$4*模擬股票報酬!$N93)*12/3</f>
        <v>-1.9101708736756783E-2</v>
      </c>
      <c r="D35" s="91">
        <f>(輸入面板!$H$3*3/12+五股收盤價與其他數據彙總!$Q$4*模擬股票報酬!$O93)*12/3</f>
        <v>-5.2491164430861624E-2</v>
      </c>
      <c r="E35" s="91">
        <f>(輸入面板!$I$3*3/12+五股收盤價與其他數據彙總!$R$4*模擬股票報酬!$P93)*12/3</f>
        <v>-1.4105845672472556E-3</v>
      </c>
      <c r="F35" s="91">
        <f>(輸入面板!$J$3*3/12+五股收盤價與其他數據彙總!$S$4*模擬股票報酬!$Q93)*12/3</f>
        <v>-2.1177520360541671E-3</v>
      </c>
      <c r="G35" s="61">
        <f>(輸入面板!$K$3*3/12+五股收盤價與其他數據彙總!$T$4*模擬股票報酬!$R93)*12/3</f>
        <v>1.4387974141435033E-2</v>
      </c>
      <c r="M35" s="29">
        <v>34</v>
      </c>
      <c r="N35" s="91">
        <v>-0.95175584224762677</v>
      </c>
      <c r="O35" s="91">
        <v>-1.7379203959767795</v>
      </c>
      <c r="P35" s="91">
        <v>-0.71773840903788966</v>
      </c>
      <c r="Q35" s="91">
        <v>0.14034295088185322</v>
      </c>
      <c r="R35" s="35">
        <v>0.49133566554809466</v>
      </c>
      <c r="U35" s="19">
        <v>34</v>
      </c>
      <c r="V35" s="91">
        <v>0.17061041075414995</v>
      </c>
      <c r="W35" s="91">
        <v>4.1112420643104164E-2</v>
      </c>
      <c r="X35" s="91">
        <v>0.23645929797561283</v>
      </c>
      <c r="Y35" s="91">
        <v>0.5558054848937104</v>
      </c>
      <c r="Z35" s="25">
        <v>0.68840547082513726</v>
      </c>
    </row>
    <row r="36" spans="2:26" x14ac:dyDescent="0.4">
      <c r="B36" s="53">
        <v>35</v>
      </c>
      <c r="C36" s="91">
        <f>(輸入面板!$G$3*3/12+五股收盤價與其他數據彙總!$P$4*模擬股票報酬!$N94)*12/3</f>
        <v>-9.7197855131114889E-3</v>
      </c>
      <c r="D36" s="91">
        <f>(輸入面板!$H$3*3/12+五股收盤價與其他數據彙總!$Q$4*模擬股票報酬!$O94)*12/3</f>
        <v>4.7683189232613221E-3</v>
      </c>
      <c r="E36" s="91">
        <f>(輸入面板!$I$3*3/12+五股收盤價與其他數據彙總!$R$4*模擬股票報酬!$P94)*12/3</f>
        <v>-2.812194211979956E-2</v>
      </c>
      <c r="F36" s="91">
        <f>(輸入面板!$J$3*3/12+五股收盤價與其他數據彙總!$S$4*模擬股票報酬!$Q94)*12/3</f>
        <v>-1.9819440340313174E-2</v>
      </c>
      <c r="G36" s="61">
        <f>(輸入面板!$K$3*3/12+五股收盤價與其他數據彙總!$T$4*模擬股票報酬!$R94)*12/3</f>
        <v>-2.3031822916537881E-2</v>
      </c>
      <c r="M36" s="29">
        <v>35</v>
      </c>
      <c r="N36" s="91">
        <v>-0.68991265108815902</v>
      </c>
      <c r="O36" s="91">
        <v>-1.0602078598166462</v>
      </c>
      <c r="P36" s="91">
        <v>-2.1017133432054078</v>
      </c>
      <c r="Q36" s="91">
        <v>0.31679751611688062</v>
      </c>
      <c r="R36" s="35">
        <v>-0.60162142851173228</v>
      </c>
      <c r="U36" s="19">
        <v>35</v>
      </c>
      <c r="V36" s="91">
        <v>0.24512455976505687</v>
      </c>
      <c r="W36" s="91">
        <v>0.14452502307660464</v>
      </c>
      <c r="X36" s="91">
        <v>1.7789197013428071E-2</v>
      </c>
      <c r="Y36" s="91">
        <v>0.62430137546796538</v>
      </c>
      <c r="Z36" s="25">
        <v>0.27371308084678359</v>
      </c>
    </row>
    <row r="37" spans="2:26" x14ac:dyDescent="0.4">
      <c r="B37" s="53">
        <v>36</v>
      </c>
      <c r="C37" s="91">
        <f>(輸入面板!$G$3*3/12+五股收盤價與其他數據彙總!$P$4*模擬股票報酬!$N95)*12/3</f>
        <v>2.8421860661267662E-2</v>
      </c>
      <c r="D37" s="91">
        <f>(輸入面板!$H$3*3/12+五股收盤價與其他數據彙總!$Q$4*模擬股票報酬!$O95)*12/3</f>
        <v>7.2541146051464528E-2</v>
      </c>
      <c r="E37" s="91">
        <f>(輸入面板!$I$3*3/12+五股收盤價與其他數據彙總!$R$4*模擬股票報酬!$P95)*12/3</f>
        <v>5.7532020139864998E-2</v>
      </c>
      <c r="F37" s="91">
        <f>(輸入面板!$J$3*3/12+五股收盤價與其他數據彙總!$S$4*模擬股票報酬!$Q95)*12/3</f>
        <v>2.7746911103894628E-2</v>
      </c>
      <c r="G37" s="61">
        <f>(輸入面板!$K$3*3/12+五股收盤價與其他數據彙總!$T$4*模擬股票報酬!$R95)*12/3</f>
        <v>1.1288561456118009E-2</v>
      </c>
      <c r="M37" s="29">
        <v>36</v>
      </c>
      <c r="N37" s="91">
        <v>0.37459513823206708</v>
      </c>
      <c r="O37" s="91">
        <v>-0.45658497013496585</v>
      </c>
      <c r="P37" s="91">
        <v>0.69733077462808901</v>
      </c>
      <c r="Q37" s="91">
        <v>-0.79254664228047833</v>
      </c>
      <c r="R37" s="35">
        <v>-0.39382609801675245</v>
      </c>
      <c r="U37" s="19">
        <v>36</v>
      </c>
      <c r="V37" s="91">
        <v>0.64601920533705792</v>
      </c>
      <c r="W37" s="91">
        <v>0.32398469210417913</v>
      </c>
      <c r="X37" s="91">
        <v>0.75720209350395939</v>
      </c>
      <c r="Y37" s="91">
        <v>0.21402100332801943</v>
      </c>
      <c r="Z37" s="25">
        <v>0.34685471745626795</v>
      </c>
    </row>
    <row r="38" spans="2:26" x14ac:dyDescent="0.4">
      <c r="B38" s="53">
        <v>37</v>
      </c>
      <c r="C38" s="91">
        <f>(輸入面板!$G$3*3/12+五股收盤價與其他數據彙總!$P$4*模擬股票報酬!$N96)*12/3</f>
        <v>-6.7669582960268766E-3</v>
      </c>
      <c r="D38" s="91">
        <f>(輸入面板!$H$3*3/12+五股收盤價與其他數據彙總!$Q$4*模擬股票報酬!$O96)*12/3</f>
        <v>0.13096040591003411</v>
      </c>
      <c r="E38" s="91">
        <f>(輸入面板!$I$3*3/12+五股收盤價與其他數據彙總!$R$4*模擬股票報酬!$P96)*12/3</f>
        <v>1.1556563298395335E-2</v>
      </c>
      <c r="F38" s="91">
        <f>(輸入面板!$J$3*3/12+五股收盤價與其他數據彙總!$S$4*模擬股票報酬!$Q96)*12/3</f>
        <v>-8.2438152351140548E-3</v>
      </c>
      <c r="G38" s="61">
        <f>(輸入面板!$K$3*3/12+五股收盤價與其他數據彙總!$T$4*模擬股票報酬!$R96)*12/3</f>
        <v>-5.6854478629054385E-2</v>
      </c>
      <c r="M38" s="29">
        <v>37</v>
      </c>
      <c r="N38" s="91">
        <v>-0.60750122189256273</v>
      </c>
      <c r="O38" s="91">
        <v>0.56351632835953425</v>
      </c>
      <c r="P38" s="91">
        <v>-1.2608647130867401</v>
      </c>
      <c r="Q38" s="91">
        <v>-0.60101992016330152</v>
      </c>
      <c r="R38" s="35">
        <v>-2.2950793741824844</v>
      </c>
      <c r="U38" s="19">
        <v>37</v>
      </c>
      <c r="V38" s="91">
        <v>0.27175916599402705</v>
      </c>
      <c r="W38" s="91">
        <v>0.71345832770918416</v>
      </c>
      <c r="X38" s="91">
        <v>0.10367879677183933</v>
      </c>
      <c r="Y38" s="91">
        <v>0.27391335928614535</v>
      </c>
      <c r="Z38" s="25">
        <v>1.086428794219052E-2</v>
      </c>
    </row>
    <row r="39" spans="2:26" x14ac:dyDescent="0.4">
      <c r="B39" s="53">
        <v>38</v>
      </c>
      <c r="C39" s="91">
        <f>(輸入面板!$G$3*3/12+五股收盤價與其他數據彙總!$P$4*模擬股票報酬!$N97)*12/3</f>
        <v>8.3261316861773141E-2</v>
      </c>
      <c r="D39" s="91">
        <f>(輸入面板!$H$3*3/12+五股收盤價與其他數據彙總!$Q$4*模擬股票報酬!$O97)*12/3</f>
        <v>5.5490450689342385E-2</v>
      </c>
      <c r="E39" s="91">
        <f>(輸入面板!$I$3*3/12+五股收盤價與其他數據彙總!$R$4*模擬股票報酬!$P97)*12/3</f>
        <v>6.9089823965995084E-2</v>
      </c>
      <c r="F39" s="91">
        <f>(輸入面板!$J$3*3/12+五股收盤價與其他數據彙總!$S$4*模擬股票報酬!$Q97)*12/3</f>
        <v>5.3656854695535071E-2</v>
      </c>
      <c r="G39" s="61">
        <f>(輸入面板!$K$3*3/12+五股收盤價與其他數據彙總!$T$4*模擬股票報酬!$R97)*12/3</f>
        <v>-2.2139925563444757E-2</v>
      </c>
      <c r="M39" s="29">
        <v>38</v>
      </c>
      <c r="N39" s="91">
        <v>1.9051276176282232</v>
      </c>
      <c r="O39" s="91">
        <v>-1.0815731852158335</v>
      </c>
      <c r="P39" s="91">
        <v>1.0179496646850532</v>
      </c>
      <c r="Q39" s="91">
        <v>-0.17253982242079272</v>
      </c>
      <c r="R39" s="35">
        <v>-2.1301688036015709</v>
      </c>
      <c r="U39" s="19">
        <v>38</v>
      </c>
      <c r="V39" s="91">
        <v>0.97161825789712641</v>
      </c>
      <c r="W39" s="91">
        <v>0.13972111243791208</v>
      </c>
      <c r="X39" s="91">
        <v>0.84564906119306271</v>
      </c>
      <c r="Y39" s="91">
        <v>0.43150657850332275</v>
      </c>
      <c r="Z39" s="25">
        <v>1.6578839802782852E-2</v>
      </c>
    </row>
    <row r="40" spans="2:26" x14ac:dyDescent="0.4">
      <c r="B40" s="53">
        <v>39</v>
      </c>
      <c r="C40" s="91">
        <f>(輸入面板!$G$3*3/12+五股收盤價與其他數據彙總!$P$4*模擬股票報酬!$N98)*12/3</f>
        <v>3.5555435657417603E-2</v>
      </c>
      <c r="D40" s="91">
        <f>(輸入面板!$H$3*3/12+五股收盤價與其他數據彙總!$Q$4*模擬股票報酬!$O98)*12/3</f>
        <v>-4.036261507240832E-3</v>
      </c>
      <c r="E40" s="91">
        <f>(輸入面板!$I$3*3/12+五股收盤價與其他數據彙總!$R$4*模擬股票報酬!$P98)*12/3</f>
        <v>7.4653215953954591E-3</v>
      </c>
      <c r="F40" s="91">
        <f>(輸入面板!$J$3*3/12+五股收盤價與其他數據彙總!$S$4*模擬股票報酬!$Q98)*12/3</f>
        <v>-6.228586170513719E-2</v>
      </c>
      <c r="G40" s="61">
        <f>(輸入面板!$K$3*3/12+五股收盤價與其他數據彙總!$T$4*模擬股票報酬!$R98)*12/3</f>
        <v>2.2003163575173474E-2</v>
      </c>
      <c r="M40" s="29">
        <v>39</v>
      </c>
      <c r="N40" s="91">
        <v>0.57368843678514714</v>
      </c>
      <c r="O40" s="91">
        <v>-1.507449168339795</v>
      </c>
      <c r="P40" s="91">
        <v>-0.85608693578944373</v>
      </c>
      <c r="Q40" s="91">
        <v>-3.3731898808404495</v>
      </c>
      <c r="R40" s="35">
        <v>0.31602125610137843</v>
      </c>
      <c r="U40" s="19">
        <v>39</v>
      </c>
      <c r="V40" s="91">
        <v>0.71691067274738085</v>
      </c>
      <c r="W40" s="91">
        <v>6.5847781932846017E-2</v>
      </c>
      <c r="X40" s="91">
        <v>0.19597484715168023</v>
      </c>
      <c r="Y40" s="91">
        <v>3.7151346827779541E-4</v>
      </c>
      <c r="Z40" s="25">
        <v>0.62400681287214677</v>
      </c>
    </row>
    <row r="41" spans="2:26" x14ac:dyDescent="0.4">
      <c r="B41" s="53">
        <v>40</v>
      </c>
      <c r="C41" s="91">
        <f>(輸入面板!$G$3*3/12+五股收盤價與其他數據彙總!$P$4*模擬股票報酬!$N99)*12/3</f>
        <v>-1.7249848680774921E-2</v>
      </c>
      <c r="D41" s="91">
        <f>(輸入面板!$H$3*3/12+五股收盤價與其他數據彙總!$Q$4*模擬股票報酬!$O99)*12/3</f>
        <v>0.13972673133099778</v>
      </c>
      <c r="E41" s="91">
        <f>(輸入面板!$I$3*3/12+五股收盤價與其他數據彙總!$R$4*模擬股票報酬!$P99)*12/3</f>
        <v>-7.1089346814894525E-3</v>
      </c>
      <c r="F41" s="91">
        <f>(輸入面板!$J$3*3/12+五股收盤價與其他數據彙總!$S$4*模擬股票報酬!$Q99)*12/3</f>
        <v>-1.2807689331273901E-2</v>
      </c>
      <c r="G41" s="61">
        <f>(輸入面板!$K$3*3/12+五股收盤價與其他數據彙總!$T$4*模擬股票報酬!$R99)*12/3</f>
        <v>1.0789307825078797E-2</v>
      </c>
      <c r="M41" s="29">
        <v>40</v>
      </c>
      <c r="N41" s="91">
        <v>-0.90007166885586909</v>
      </c>
      <c r="O41" s="91">
        <v>0.75479155441574974</v>
      </c>
      <c r="P41" s="91">
        <v>-1.9899296881734574</v>
      </c>
      <c r="Q41" s="91">
        <v>-4.7124043823720235E-2</v>
      </c>
      <c r="R41" s="35">
        <v>0.79238143224468349</v>
      </c>
      <c r="U41" s="19">
        <v>40</v>
      </c>
      <c r="V41" s="91">
        <v>0.18404105593636566</v>
      </c>
      <c r="W41" s="91">
        <v>0.77481296893277962</v>
      </c>
      <c r="X41" s="91">
        <v>2.3299340719385997E-2</v>
      </c>
      <c r="Y41" s="91">
        <v>0.48120718221086833</v>
      </c>
      <c r="Z41" s="25">
        <v>0.78593084867923713</v>
      </c>
    </row>
    <row r="42" spans="2:26" x14ac:dyDescent="0.4">
      <c r="B42" s="53">
        <v>41</v>
      </c>
      <c r="C42" s="91">
        <f>(輸入面板!$G$3*3/12+五股收盤價與其他數據彙總!$P$4*模擬股票報酬!$N100)*12/3</f>
        <v>6.0253833737230521E-3</v>
      </c>
      <c r="D42" s="91">
        <f>(輸入面板!$H$3*3/12+五股收盤價與其他數據彙總!$Q$4*模擬股票報酬!$O100)*12/3</f>
        <v>-3.1651048674567792E-2</v>
      </c>
      <c r="E42" s="91">
        <f>(輸入面板!$I$3*3/12+五股收盤價與其他數據彙總!$R$4*模擬股票報酬!$P100)*12/3</f>
        <v>6.3474345717767555E-2</v>
      </c>
      <c r="F42" s="91">
        <f>(輸入面板!$J$3*3/12+五股收盤價與其他數據彙總!$S$4*模擬股票報酬!$Q100)*12/3</f>
        <v>8.2701979023857591E-2</v>
      </c>
      <c r="G42" s="61">
        <f>(輸入面板!$K$3*3/12+五股收盤價與其他數據彙總!$T$4*模擬股票報酬!$R100)*12/3</f>
        <v>-3.6906403397952287E-4</v>
      </c>
      <c r="M42" s="29">
        <v>41</v>
      </c>
      <c r="N42" s="91">
        <v>-0.2504755369277169</v>
      </c>
      <c r="O42" s="91">
        <v>-1.6506872478668202</v>
      </c>
      <c r="P42" s="91">
        <v>1.58334616182914</v>
      </c>
      <c r="Q42" s="91">
        <v>1.7213757360886242</v>
      </c>
      <c r="R42" s="35">
        <v>-0.89221620758317843</v>
      </c>
      <c r="U42" s="19">
        <v>41</v>
      </c>
      <c r="V42" s="91">
        <v>0.40110981028517934</v>
      </c>
      <c r="W42" s="91">
        <v>4.9401226520945585E-2</v>
      </c>
      <c r="X42" s="91">
        <v>0.94332870657563128</v>
      </c>
      <c r="Y42" s="91">
        <v>0.95740866784812306</v>
      </c>
      <c r="Z42" s="25">
        <v>0.18613852828212241</v>
      </c>
    </row>
    <row r="43" spans="2:26" x14ac:dyDescent="0.4">
      <c r="B43" s="53">
        <v>42</v>
      </c>
      <c r="C43" s="91">
        <f>(輸入面板!$G$3*3/12+五股收盤價與其他數據彙總!$P$4*模擬股票報酬!$N101)*12/3</f>
        <v>-8.3870903951761416E-3</v>
      </c>
      <c r="D43" s="91">
        <f>(輸入面板!$H$3*3/12+五股收盤價與其他數據彙總!$Q$4*模擬股票報酬!$O101)*12/3</f>
        <v>7.7471000903155285E-2</v>
      </c>
      <c r="E43" s="91">
        <f>(輸入面板!$I$3*3/12+五股收盤價與其他數據彙總!$R$4*模擬股票報酬!$P101)*12/3</f>
        <v>4.960896188957354E-2</v>
      </c>
      <c r="F43" s="91">
        <f>(輸入面板!$J$3*3/12+五股收盤價與其他數據彙總!$S$4*模擬股票報酬!$Q101)*12/3</f>
        <v>3.9046759600802339E-3</v>
      </c>
      <c r="G43" s="61">
        <f>(輸入面板!$K$3*3/12+五股收盤價與其他數據彙總!$T$4*模擬股票報酬!$R101)*12/3</f>
        <v>4.7958131722006435E-2</v>
      </c>
      <c r="M43" s="29">
        <v>42</v>
      </c>
      <c r="N43" s="91">
        <v>-0.65271802326991424</v>
      </c>
      <c r="O43" s="91">
        <v>-0.12203051737045738</v>
      </c>
      <c r="P43" s="91">
        <v>0.51109960026209</v>
      </c>
      <c r="Q43" s="91">
        <v>-1.5274625581512511</v>
      </c>
      <c r="R43" s="35">
        <v>1.3175227368886515</v>
      </c>
      <c r="U43" s="19">
        <v>42</v>
      </c>
      <c r="V43" s="91">
        <v>0.25696904049196689</v>
      </c>
      <c r="W43" s="91">
        <v>0.45143742475620963</v>
      </c>
      <c r="X43" s="91">
        <v>0.69535934208256389</v>
      </c>
      <c r="Y43" s="91">
        <v>6.3323015395355675E-2</v>
      </c>
      <c r="Z43" s="25">
        <v>0.90616826757084001</v>
      </c>
    </row>
    <row r="44" spans="2:26" x14ac:dyDescent="0.4">
      <c r="B44" s="53">
        <v>43</v>
      </c>
      <c r="C44" s="91">
        <f>(輸入面板!$G$3*3/12+五股收盤價與其他數據彙總!$P$4*模擬股票報酬!$N102)*12/3</f>
        <v>5.1431729187524228E-3</v>
      </c>
      <c r="D44" s="91">
        <f>(輸入面板!$H$3*3/12+五股收盤價與其他數據彙總!$Q$4*模擬股票報酬!$O102)*12/3</f>
        <v>2.6023480369291307E-3</v>
      </c>
      <c r="E44" s="91">
        <f>(輸入面板!$I$3*3/12+五股收盤價與其他數據彙總!$R$4*模擬股票報酬!$P102)*12/3</f>
        <v>8.8000306587236177E-3</v>
      </c>
      <c r="F44" s="91">
        <f>(輸入面板!$J$3*3/12+五股收盤價與其他數據彙總!$S$4*模擬股票報酬!$Q102)*12/3</f>
        <v>3.8355057696002864E-2</v>
      </c>
      <c r="G44" s="61">
        <f>(輸入面板!$K$3*3/12+五股收盤價與其他數據彙總!$T$4*模擬股票報酬!$R102)*12/3</f>
        <v>1.9171723673301878E-2</v>
      </c>
      <c r="M44" s="29">
        <v>43</v>
      </c>
      <c r="N44" s="91">
        <v>-0.27509743963329047</v>
      </c>
      <c r="O44" s="91">
        <v>-1.1975829659167065</v>
      </c>
      <c r="P44" s="91">
        <v>-0.71840971909475604</v>
      </c>
      <c r="Q44" s="91">
        <v>1.6982158779319807</v>
      </c>
      <c r="R44" s="35">
        <v>0.66918019525558803</v>
      </c>
      <c r="U44" s="19">
        <v>43</v>
      </c>
      <c r="V44" s="91">
        <v>0.39162068930010996</v>
      </c>
      <c r="W44" s="91">
        <v>0.1155397054028886</v>
      </c>
      <c r="X44" s="91">
        <v>0.23625234794027072</v>
      </c>
      <c r="Y44" s="91">
        <v>0.95526648757699562</v>
      </c>
      <c r="Z44" s="25">
        <v>0.74830973093986053</v>
      </c>
    </row>
    <row r="45" spans="2:26" x14ac:dyDescent="0.4">
      <c r="B45" s="53">
        <v>44</v>
      </c>
      <c r="C45" s="91">
        <f>(輸入面板!$G$3*3/12+五股收盤價與其他數據彙總!$P$4*模擬股票報酬!$N103)*12/3</f>
        <v>-5.4597122255207388E-2</v>
      </c>
      <c r="D45" s="91">
        <f>(輸入面板!$H$3*3/12+五股收盤價與其他數據彙總!$Q$4*模擬股票報酬!$O103)*12/3</f>
        <v>2.4494771624548412E-2</v>
      </c>
      <c r="E45" s="91">
        <f>(輸入面板!$I$3*3/12+五股收盤價與其他數據彙總!$R$4*模擬股票報酬!$P103)*12/3</f>
        <v>1.748029594370927E-2</v>
      </c>
      <c r="F45" s="91">
        <f>(輸入面板!$J$3*3/12+五股收盤價與其他數據彙總!$S$4*模擬股票報酬!$Q103)*12/3</f>
        <v>-3.3074742699395268E-3</v>
      </c>
      <c r="G45" s="61">
        <f>(輸入面板!$K$3*3/12+五股收盤價與其他數據彙總!$T$4*模擬股票報酬!$R103)*12/3</f>
        <v>-3.0201369545097598E-2</v>
      </c>
      <c r="M45" s="29">
        <v>44</v>
      </c>
      <c r="N45" s="91">
        <v>-1.9424090511517171</v>
      </c>
      <c r="O45" s="91">
        <v>-0.47347889507506108</v>
      </c>
      <c r="P45" s="91">
        <v>-0.26120029513935017</v>
      </c>
      <c r="Q45" s="91">
        <v>-0.48308191020788788</v>
      </c>
      <c r="R45" s="35">
        <v>-1.291159804109046</v>
      </c>
      <c r="U45" s="19">
        <v>44</v>
      </c>
      <c r="V45" s="91">
        <v>2.6043800221775104E-2</v>
      </c>
      <c r="W45" s="91">
        <v>0.3179357773059075</v>
      </c>
      <c r="X45" s="91">
        <v>0.39696902526393552</v>
      </c>
      <c r="Y45" s="91">
        <v>0.31451878897857943</v>
      </c>
      <c r="Z45" s="25">
        <v>9.8324135040909866E-2</v>
      </c>
    </row>
    <row r="46" spans="2:26" x14ac:dyDescent="0.4">
      <c r="B46" s="53">
        <v>45</v>
      </c>
      <c r="C46" s="91">
        <f>(輸入面板!$G$3*3/12+五股收盤價與其他數據彙總!$P$4*模擬股票報酬!$N104)*12/3</f>
        <v>2.3997376895884371E-2</v>
      </c>
      <c r="D46" s="91">
        <f>(輸入面板!$H$3*3/12+五股收盤價與其他數據彙總!$Q$4*模擬股票報酬!$O104)*12/3</f>
        <v>0.23181629910440582</v>
      </c>
      <c r="E46" s="91">
        <f>(輸入面板!$I$3*3/12+五股收盤價與其他數據彙總!$R$4*模擬股票報酬!$P104)*12/3</f>
        <v>8.9792816121505845E-2</v>
      </c>
      <c r="F46" s="91">
        <f>(輸入面板!$J$3*3/12+五股收盤價與其他數據彙總!$S$4*模擬股票報酬!$Q104)*12/3</f>
        <v>2.9512543205984797E-2</v>
      </c>
      <c r="G46" s="61">
        <f>(輸入面板!$K$3*3/12+五股收盤價與其他數據彙總!$T$4*模擬股票報酬!$R104)*12/3</f>
        <v>-1.5313241663964855E-2</v>
      </c>
      <c r="M46" s="29">
        <v>45</v>
      </c>
      <c r="N46" s="91">
        <v>0.25111076080277905</v>
      </c>
      <c r="O46" s="91">
        <v>1.6526748110322533</v>
      </c>
      <c r="P46" s="91">
        <v>1.1005833452625235</v>
      </c>
      <c r="Q46" s="91">
        <v>-1.8568445467943915</v>
      </c>
      <c r="R46" s="35">
        <v>-1.6093894984878105</v>
      </c>
      <c r="U46" s="19">
        <v>45</v>
      </c>
      <c r="V46" s="91">
        <v>0.59913576175458694</v>
      </c>
      <c r="W46" s="91">
        <v>0.95080146825222389</v>
      </c>
      <c r="X46" s="91">
        <v>0.86446098131722771</v>
      </c>
      <c r="Y46" s="91">
        <v>3.1666636942581761E-2</v>
      </c>
      <c r="Z46" s="25">
        <v>5.3765600054410223E-2</v>
      </c>
    </row>
    <row r="47" spans="2:26" x14ac:dyDescent="0.4">
      <c r="B47" s="53">
        <v>46</v>
      </c>
      <c r="C47" s="91">
        <f>(輸入面板!$G$3*3/12+五股收盤價與其他數據彙總!$P$4*模擬股票報酬!$N105)*12/3</f>
        <v>3.0705973397721478E-2</v>
      </c>
      <c r="D47" s="91">
        <f>(輸入面板!$H$3*3/12+五股收盤價與其他數據彙總!$Q$4*模擬股票報酬!$O105)*12/3</f>
        <v>0.23289886564780637</v>
      </c>
      <c r="E47" s="91">
        <f>(輸入面板!$I$3*3/12+五股收盤價與其他數據彙總!$R$4*模擬股票報酬!$P105)*12/3</f>
        <v>5.8317766246922219E-2</v>
      </c>
      <c r="F47" s="91">
        <f>(輸入面板!$J$3*3/12+五股收盤價與其他數據彙總!$S$4*模擬股票報酬!$Q105)*12/3</f>
        <v>3.0713289899883676E-2</v>
      </c>
      <c r="G47" s="61">
        <f>(輸入面板!$K$3*3/12+五股收盤價與其他數據彙總!$T$4*模擬股票報酬!$R105)*12/3</f>
        <v>1.385587520793715E-2</v>
      </c>
      <c r="M47" s="29">
        <v>46</v>
      </c>
      <c r="N47" s="91">
        <v>0.43834319432079194</v>
      </c>
      <c r="O47" s="91">
        <v>1.6175315304850104</v>
      </c>
      <c r="P47" s="91">
        <v>-0.15223512351456872</v>
      </c>
      <c r="Q47" s="91">
        <v>-0.57892767164526771</v>
      </c>
      <c r="R47" s="35">
        <v>3.5014793570642716E-2</v>
      </c>
      <c r="U47" s="19">
        <v>46</v>
      </c>
      <c r="V47" s="91">
        <v>0.66943124073741922</v>
      </c>
      <c r="W47" s="91">
        <v>0.94711820237217603</v>
      </c>
      <c r="X47" s="91">
        <v>0.43950074612348122</v>
      </c>
      <c r="Y47" s="91">
        <v>0.28131898890552964</v>
      </c>
      <c r="Z47" s="25">
        <v>0.51396602772830469</v>
      </c>
    </row>
    <row r="48" spans="2:26" x14ac:dyDescent="0.4">
      <c r="B48" s="53">
        <v>47</v>
      </c>
      <c r="C48" s="91">
        <f>(輸入面板!$G$3*3/12+五股收盤價與其他數據彙總!$P$4*模擬股票報酬!$N106)*12/3</f>
        <v>8.9163739680631168E-2</v>
      </c>
      <c r="D48" s="91">
        <f>(輸入面板!$H$3*3/12+五股收盤價與其他數據彙總!$Q$4*模擬股票報酬!$O106)*12/3</f>
        <v>0.13431397738793338</v>
      </c>
      <c r="E48" s="91">
        <f>(輸入面板!$I$3*3/12+五股收盤價與其他數據彙總!$R$4*模擬股票報酬!$P106)*12/3</f>
        <v>3.4290276544368718E-2</v>
      </c>
      <c r="F48" s="91">
        <f>(輸入面板!$J$3*3/12+五股收盤價與其他數據彙總!$S$4*模擬股票報酬!$Q106)*12/3</f>
        <v>5.4733367445597793E-2</v>
      </c>
      <c r="G48" s="61">
        <f>(輸入面板!$K$3*3/12+五股收盤價與其他數據彙總!$T$4*模擬股票報酬!$R106)*12/3</f>
        <v>5.3437902147199436E-2</v>
      </c>
      <c r="M48" s="29">
        <v>47</v>
      </c>
      <c r="N48" s="91">
        <v>2.0698602838013054</v>
      </c>
      <c r="O48" s="91">
        <v>-9.7140603277077422E-2</v>
      </c>
      <c r="P48" s="91">
        <v>-0.78268902997814993</v>
      </c>
      <c r="Q48" s="91">
        <v>1.2844784132059897</v>
      </c>
      <c r="R48" s="35">
        <v>1.6185958343828653</v>
      </c>
      <c r="U48" s="19">
        <v>47</v>
      </c>
      <c r="V48" s="91">
        <v>0.98076728494580201</v>
      </c>
      <c r="W48" s="91">
        <v>0.46130736828197594</v>
      </c>
      <c r="X48" s="91">
        <v>0.21690487286335669</v>
      </c>
      <c r="Y48" s="91">
        <v>0.90051269401503053</v>
      </c>
      <c r="Z48" s="25">
        <v>0.94723287401338108</v>
      </c>
    </row>
    <row r="49" spans="1:26" x14ac:dyDescent="0.4">
      <c r="B49" s="53">
        <v>48</v>
      </c>
      <c r="C49" s="91">
        <f>(輸入面板!$G$3*3/12+五股收盤價與其他數據彙總!$P$4*模擬股票報酬!$N107)*12/3</f>
        <v>-4.3566044880240885E-2</v>
      </c>
      <c r="D49" s="91">
        <f>(輸入面板!$H$3*3/12+五股收盤價與其他數據彙總!$Q$4*模擬股票報酬!$O107)*12/3</f>
        <v>6.0441683972409156E-2</v>
      </c>
      <c r="E49" s="91">
        <f>(輸入面板!$I$3*3/12+五股收盤價與其他數據彙總!$R$4*模擬股票報酬!$P107)*12/3</f>
        <v>-1.8303368436749491E-2</v>
      </c>
      <c r="F49" s="91">
        <f>(輸入面板!$J$3*3/12+五股收盤價與其他數據彙總!$S$4*模擬股票報酬!$Q107)*12/3</f>
        <v>-3.7938979521600497E-3</v>
      </c>
      <c r="G49" s="61">
        <f>(輸入面板!$K$3*3/12+五股收盤價與其他數據彙總!$T$4*模擬股票報酬!$R107)*12/3</f>
        <v>-1.2656415446309565E-2</v>
      </c>
      <c r="M49" s="29">
        <v>48</v>
      </c>
      <c r="N49" s="91">
        <v>-1.634539072583937</v>
      </c>
      <c r="O49" s="91">
        <v>-8.5767923740768956E-2</v>
      </c>
      <c r="P49" s="91">
        <v>-1.8877063351559171</v>
      </c>
      <c r="Q49" s="91">
        <v>0.8879318076701862</v>
      </c>
      <c r="R49" s="35">
        <v>-5.3040316391689641E-3</v>
      </c>
      <c r="U49" s="19">
        <v>48</v>
      </c>
      <c r="V49" s="91">
        <v>5.1072854481051255E-2</v>
      </c>
      <c r="W49" s="91">
        <v>0.46582545281825016</v>
      </c>
      <c r="X49" s="91">
        <v>2.9532692708992947E-2</v>
      </c>
      <c r="Y49" s="91">
        <v>0.8127112831086396</v>
      </c>
      <c r="Z49" s="25">
        <v>0.49788400744400207</v>
      </c>
    </row>
    <row r="50" spans="1:26" x14ac:dyDescent="0.4">
      <c r="B50" s="53">
        <v>49</v>
      </c>
      <c r="C50" s="91">
        <f>(輸入面板!$G$3*3/12+五股收盤價與其他數據彙總!$P$4*模擬股票報酬!$N108)*12/3</f>
        <v>3.9108292820118219E-2</v>
      </c>
      <c r="D50" s="91">
        <f>(輸入面板!$H$3*3/12+五股收盤價與其他數據彙總!$Q$4*模擬股票報酬!$O108)*12/3</f>
        <v>0.18180518629737938</v>
      </c>
      <c r="E50" s="91">
        <f>(輸入面板!$I$3*3/12+五股收盤價與其他數據彙總!$R$4*模擬股票報酬!$P108)*12/3</f>
        <v>9.9099228267037112E-2</v>
      </c>
      <c r="F50" s="91">
        <f>(輸入面板!$J$3*3/12+五股收盤價與其他數據彙總!$S$4*模擬股票報酬!$Q108)*12/3</f>
        <v>4.6154675534790975E-2</v>
      </c>
      <c r="G50" s="61">
        <f>(輸入面板!$K$3*3/12+五股收盤價與其他數據彙總!$T$4*模擬股票報酬!$R108)*12/3</f>
        <v>2.4428695624856177E-2</v>
      </c>
      <c r="M50" s="29">
        <v>49</v>
      </c>
      <c r="N50" s="91">
        <v>0.67284629973489751</v>
      </c>
      <c r="O50" s="91">
        <v>0.88963113382082293</v>
      </c>
      <c r="P50" s="91">
        <v>1.672298478078615</v>
      </c>
      <c r="Q50" s="91">
        <v>-1.48454614798301</v>
      </c>
      <c r="R50" s="35">
        <v>-0.25520161412422099</v>
      </c>
      <c r="U50" s="19">
        <v>49</v>
      </c>
      <c r="V50" s="91">
        <v>0.74947746061876552</v>
      </c>
      <c r="W50" s="91">
        <v>0.81316800847420811</v>
      </c>
      <c r="X50" s="91">
        <v>0.95276726019060054</v>
      </c>
      <c r="Y50" s="91">
        <v>6.8832044954256544E-2</v>
      </c>
      <c r="Z50" s="25">
        <v>0.3992836922233769</v>
      </c>
    </row>
    <row r="51" spans="1:26" x14ac:dyDescent="0.4">
      <c r="B51" s="53">
        <v>50</v>
      </c>
      <c r="C51" s="91">
        <f>(輸入面板!$G$3*3/12+五股收盤價與其他數據彙總!$P$4*模擬股票報酬!$N109)*12/3</f>
        <v>-5.0168715970049828E-4</v>
      </c>
      <c r="D51" s="91">
        <f>(輸入面板!$H$3*3/12+五股收盤價與其他數據彙總!$Q$4*模擬股票報酬!$O109)*12/3</f>
        <v>0.16534912937120078</v>
      </c>
      <c r="E51" s="91">
        <f>(輸入面板!$I$3*3/12+五股收盤價與其他數據彙總!$R$4*模擬股票報酬!$P109)*12/3</f>
        <v>6.5715412301329476E-2</v>
      </c>
      <c r="F51" s="91">
        <f>(輸入面板!$J$3*3/12+五股收盤價與其他數據彙總!$S$4*模擬股票報酬!$Q109)*12/3</f>
        <v>7.0363260039878972E-2</v>
      </c>
      <c r="G51" s="61">
        <f>(輸入面板!$K$3*3/12+五股收盤價與其他數據彙總!$T$4*模擬股票報酬!$R109)*12/3</f>
        <v>4.519957091859819E-3</v>
      </c>
      <c r="M51" s="29">
        <v>50</v>
      </c>
      <c r="N51" s="91">
        <v>-0.43264170229210397</v>
      </c>
      <c r="O51" s="91">
        <v>0.96590379532718129</v>
      </c>
      <c r="P51" s="91">
        <v>0.62654024047382151</v>
      </c>
      <c r="Q51" s="91">
        <v>1.1725326898212172</v>
      </c>
      <c r="R51" s="35">
        <v>-0.32509736207205303</v>
      </c>
      <c r="U51" s="19">
        <v>50</v>
      </c>
      <c r="V51" s="91">
        <v>0.33263754416850566</v>
      </c>
      <c r="W51" s="91">
        <v>0.83295383848077975</v>
      </c>
      <c r="X51" s="91">
        <v>0.73451967435107335</v>
      </c>
      <c r="Y51" s="91">
        <v>0.8795083722198147</v>
      </c>
      <c r="Z51" s="25">
        <v>0.37255369269074223</v>
      </c>
    </row>
    <row r="52" spans="1:26" x14ac:dyDescent="0.4">
      <c r="B52" s="53">
        <v>51</v>
      </c>
      <c r="C52" s="91">
        <f>(輸入面板!$G$3*3/12+五股收盤價與其他數據彙總!$P$4*模擬股票報酬!$N110)*12/3</f>
        <v>-4.8693359753371433E-2</v>
      </c>
      <c r="D52" s="91">
        <f>(輸入面板!$H$3*3/12+五股收盤價與其他數據彙總!$Q$4*模擬股票報酬!$O110)*12/3</f>
        <v>-8.604792797812609E-2</v>
      </c>
      <c r="E52" s="91">
        <f>(輸入面板!$I$3*3/12+五股收盤價與其他數據彙總!$R$4*模擬股票報酬!$P110)*12/3</f>
        <v>2.1249719678011272E-2</v>
      </c>
      <c r="F52" s="91">
        <f>(輸入面板!$J$3*3/12+五股收盤價與其他數據彙總!$S$4*模擬股票報酬!$Q110)*12/3</f>
        <v>2.3751668099499124E-2</v>
      </c>
      <c r="G52" s="61">
        <f>(輸入面板!$K$3*3/12+五股收盤價與其他數據彙總!$T$4*模擬股票報酬!$R110)*12/3</f>
        <v>2.9490341419217608E-2</v>
      </c>
      <c r="M52" s="29">
        <v>51</v>
      </c>
      <c r="N52" s="91">
        <v>-1.7776389953243259</v>
      </c>
      <c r="O52" s="91">
        <v>-1.958183000779411</v>
      </c>
      <c r="P52" s="91">
        <v>0.46155546519696133</v>
      </c>
      <c r="Q52" s="91">
        <v>0.62016599973190001</v>
      </c>
      <c r="R52" s="35">
        <v>0.90861386909945074</v>
      </c>
      <c r="U52" s="19">
        <v>51</v>
      </c>
      <c r="V52" s="91">
        <v>3.7731582460597712E-2</v>
      </c>
      <c r="W52" s="91">
        <v>2.5104271547730983E-2</v>
      </c>
      <c r="X52" s="91">
        <v>0.67779993121476867</v>
      </c>
      <c r="Y52" s="91">
        <v>0.73242574816809736</v>
      </c>
      <c r="Z52" s="25">
        <v>0.81822300846421481</v>
      </c>
    </row>
    <row r="53" spans="1:26" x14ac:dyDescent="0.4">
      <c r="B53" s="53">
        <v>52</v>
      </c>
      <c r="C53" s="91">
        <f>(輸入面板!$G$3*3/12+五股收盤價與其他數據彙總!$P$4*模擬股票報酬!$N111)*12/3</f>
        <v>7.6179185915424164E-2</v>
      </c>
      <c r="D53" s="91">
        <f>(輸入面板!$H$3*3/12+五股收盤價與其他數據彙總!$Q$4*模擬股票報酬!$O111)*12/3</f>
        <v>0.27076162907081203</v>
      </c>
      <c r="E53" s="91">
        <f>(輸入面板!$I$3*3/12+五股收盤價與其他數據彙總!$R$4*模擬股票報酬!$P111)*12/3</f>
        <v>0.14474371848639356</v>
      </c>
      <c r="F53" s="91">
        <f>(輸入面板!$J$3*3/12+五股收盤價與其他數據彙總!$S$4*模擬股票報酬!$Q111)*12/3</f>
        <v>0.14471400384327748</v>
      </c>
      <c r="G53" s="61">
        <f>(輸入面板!$K$3*3/12+五股收盤價與其他數據彙總!$T$4*模擬股票報酬!$R111)*12/3</f>
        <v>1.1043943391104408E-2</v>
      </c>
      <c r="M53" s="29">
        <v>52</v>
      </c>
      <c r="N53" s="91">
        <v>1.7074700880368956</v>
      </c>
      <c r="O53" s="91">
        <v>1.777327166381657</v>
      </c>
      <c r="P53" s="91">
        <v>2.8097569214829137</v>
      </c>
      <c r="Q53" s="91">
        <v>1.5402830289153282</v>
      </c>
      <c r="R53" s="35">
        <v>-1.1532985517761112</v>
      </c>
      <c r="U53" s="19">
        <v>52</v>
      </c>
      <c r="V53" s="91">
        <v>0.95613264355588834</v>
      </c>
      <c r="W53" s="91">
        <v>0.96224278677919006</v>
      </c>
      <c r="X53" s="91">
        <v>0.9975210535063419</v>
      </c>
      <c r="Y53" s="91">
        <v>0.93825431063838449</v>
      </c>
      <c r="Z53" s="25">
        <v>0.12439393218282624</v>
      </c>
    </row>
    <row r="54" spans="1:26" x14ac:dyDescent="0.4">
      <c r="B54" s="53">
        <v>53</v>
      </c>
      <c r="C54" s="91">
        <f>(輸入面板!$G$3*3/12+五股收盤價與其他數據彙總!$P$4*模擬股票報酬!$N112)*12/3</f>
        <v>4.128047903612999E-2</v>
      </c>
      <c r="D54" s="91">
        <f>(輸入面板!$H$3*3/12+五股收盤價與其他數據彙總!$Q$4*模擬股票報酬!$O112)*12/3</f>
        <v>0.19880369513253124</v>
      </c>
      <c r="E54" s="91">
        <f>(輸入面板!$I$3*3/12+五股收盤價與其他數據彙總!$R$4*模擬股票報酬!$P112)*12/3</f>
        <v>-1.8548425305354742E-2</v>
      </c>
      <c r="F54" s="91">
        <f>(輸入面板!$J$3*3/12+五股收盤價與其他數據彙總!$S$4*模擬股票報酬!$Q112)*12/3</f>
        <v>-4.2657895888487118E-2</v>
      </c>
      <c r="G54" s="61">
        <f>(輸入面板!$K$3*3/12+五股收盤價與其他數據彙總!$T$4*模擬股票報酬!$R112)*12/3</f>
        <v>1.0194738028332116E-2</v>
      </c>
      <c r="M54" s="29">
        <v>53</v>
      </c>
      <c r="N54" s="91">
        <v>0.73347056163033197</v>
      </c>
      <c r="O54" s="91">
        <v>1.0953233875289794</v>
      </c>
      <c r="P54" s="91">
        <v>-2.9889613634040129</v>
      </c>
      <c r="Q54" s="91">
        <v>-1.2576140758905383</v>
      </c>
      <c r="R54" s="35">
        <v>0.70082266313994823</v>
      </c>
      <c r="U54" s="19">
        <v>53</v>
      </c>
      <c r="V54" s="91">
        <v>0.768364261824799</v>
      </c>
      <c r="W54" s="91">
        <v>0.86331250755506672</v>
      </c>
      <c r="X54" s="91">
        <v>1.3996376345044581E-3</v>
      </c>
      <c r="Y54" s="91">
        <v>0.10426568014358617</v>
      </c>
      <c r="Z54" s="25">
        <v>0.75829315359950455</v>
      </c>
    </row>
    <row r="55" spans="1:26" x14ac:dyDescent="0.4">
      <c r="B55" s="53">
        <v>54</v>
      </c>
      <c r="C55" s="91">
        <f>(輸入面板!$G$3*3/12+五股收盤價與其他數據彙總!$P$4*模擬股票報酬!$N113)*12/3</f>
        <v>-1.5658493516036442E-2</v>
      </c>
      <c r="D55" s="91">
        <f>(輸入面板!$H$3*3/12+五股收盤價與其他數據彙總!$Q$4*模擬股票報酬!$O113)*12/3</f>
        <v>7.8639184707825771E-3</v>
      </c>
      <c r="E55" s="91">
        <f>(輸入面板!$I$3*3/12+五股收盤價與其他數據彙總!$R$4*模擬股票報酬!$P113)*12/3</f>
        <v>1.5629744942338986E-2</v>
      </c>
      <c r="F55" s="91">
        <f>(輸入面板!$J$3*3/12+五股收盤價與其他數據彙總!$S$4*模擬股票報酬!$Q113)*12/3</f>
        <v>-8.9265190924985791E-3</v>
      </c>
      <c r="G55" s="61">
        <f>(輸入面板!$K$3*3/12+五股收盤價與其他數據彙總!$T$4*模擬股票報酬!$R113)*12/3</f>
        <v>-3.1826680368610742E-2</v>
      </c>
      <c r="M55" s="29">
        <v>54</v>
      </c>
      <c r="N55" s="91">
        <v>-0.85565801243699646</v>
      </c>
      <c r="O55" s="91">
        <v>-0.9762389069572257</v>
      </c>
      <c r="P55" s="91">
        <v>-0.39880941418358251</v>
      </c>
      <c r="Q55" s="91">
        <v>-0.84393787414126975</v>
      </c>
      <c r="R55" s="35">
        <v>-1.5605039781444614</v>
      </c>
      <c r="U55" s="19">
        <v>54</v>
      </c>
      <c r="V55" s="91">
        <v>0.19609348562814888</v>
      </c>
      <c r="W55" s="91">
        <v>0.16447304344296576</v>
      </c>
      <c r="X55" s="91">
        <v>0.34501681991247057</v>
      </c>
      <c r="Y55" s="91">
        <v>0.19935206129671768</v>
      </c>
      <c r="Z55" s="25">
        <v>5.9320415305627705E-2</v>
      </c>
    </row>
    <row r="56" spans="1:26" x14ac:dyDescent="0.4">
      <c r="B56" s="53">
        <v>55</v>
      </c>
      <c r="C56" s="91">
        <f>(輸入面板!$G$3*3/12+五股收盤價與其他數據彙總!$P$4*模擬股票報酬!$N114)*12/3</f>
        <v>8.4857917253518995E-3</v>
      </c>
      <c r="D56" s="91">
        <f>(輸入面板!$H$3*3/12+五股收盤價與其他數據彙總!$Q$4*模擬股票報酬!$O114)*12/3</f>
        <v>7.5641231845241977E-2</v>
      </c>
      <c r="E56" s="91">
        <f>(輸入面板!$I$3*3/12+五股收盤價與其他數據彙總!$R$4*模擬股票報酬!$P114)*12/3</f>
        <v>8.9910273731409959E-2</v>
      </c>
      <c r="F56" s="91">
        <f>(輸入面板!$J$3*3/12+五股收盤價與其他數據彙總!$S$4*模擬股票報酬!$Q114)*12/3</f>
        <v>5.8243374905368635E-2</v>
      </c>
      <c r="G56" s="61">
        <f>(輸入面板!$K$3*3/12+五股收盤價與其他數據彙總!$T$4*模擬股票報酬!$R114)*12/3</f>
        <v>-1.360492752271578E-3</v>
      </c>
      <c r="M56" s="29">
        <v>55</v>
      </c>
      <c r="N56" s="91">
        <v>-0.18180718833984746</v>
      </c>
      <c r="O56" s="91">
        <v>-0.26978005210059919</v>
      </c>
      <c r="P56" s="91">
        <v>2.015504090013871</v>
      </c>
      <c r="Q56" s="91">
        <v>-0.47745170318214414</v>
      </c>
      <c r="R56" s="35">
        <v>-1.205487590811299</v>
      </c>
      <c r="U56" s="19">
        <v>55</v>
      </c>
      <c r="V56" s="91">
        <v>0.42786702153152745</v>
      </c>
      <c r="W56" s="91">
        <v>0.39366473505785415</v>
      </c>
      <c r="X56" s="91">
        <v>0.9780740710258693</v>
      </c>
      <c r="Y56" s="91">
        <v>0.31652025227491754</v>
      </c>
      <c r="Z56" s="25">
        <v>0.1140075628346382</v>
      </c>
    </row>
    <row r="57" spans="1:26" x14ac:dyDescent="0.4">
      <c r="B57" s="53">
        <v>56</v>
      </c>
      <c r="C57" s="91">
        <f>(輸入面板!$G$3*3/12+五股收盤價與其他數據彙總!$P$4*模擬股票報酬!$N115)*12/3</f>
        <v>5.721915200862393E-2</v>
      </c>
      <c r="D57" s="91">
        <f>(輸入面板!$H$3*3/12+五股收盤價與其他數據彙總!$Q$4*模擬股票報酬!$O115)*12/3</f>
        <v>4.1159018934171177E-2</v>
      </c>
      <c r="E57" s="91">
        <f>(輸入面板!$I$3*3/12+五股收盤價與其他數據彙總!$R$4*模擬股票報酬!$P115)*12/3</f>
        <v>0.10440920767602908</v>
      </c>
      <c r="F57" s="91">
        <f>(輸入面板!$J$3*3/12+五股收盤價與其他數據彙總!$S$4*模擬股票報酬!$Q115)*12/3</f>
        <v>6.8452247600345073E-2</v>
      </c>
      <c r="G57" s="61">
        <f>(輸入面板!$K$3*3/12+五股收盤價與其他數據彙總!$T$4*模擬股票報酬!$R115)*12/3</f>
        <v>6.0402284571264862E-2</v>
      </c>
      <c r="M57" s="29">
        <v>56</v>
      </c>
      <c r="N57" s="91">
        <v>1.1783082451712348</v>
      </c>
      <c r="O57" s="91">
        <v>-1.077221226184913</v>
      </c>
      <c r="P57" s="91">
        <v>2.5692860323997313</v>
      </c>
      <c r="Q57" s="91">
        <v>-0.74375969835140132</v>
      </c>
      <c r="R57" s="35">
        <v>0.8217589873856217</v>
      </c>
      <c r="U57" s="19">
        <v>56</v>
      </c>
      <c r="V57" s="91">
        <v>0.88066312903914756</v>
      </c>
      <c r="W57" s="91">
        <v>0.14069072232067859</v>
      </c>
      <c r="X57" s="91">
        <v>0.99490458483705235</v>
      </c>
      <c r="Y57" s="91">
        <v>0.22851093293396563</v>
      </c>
      <c r="Z57" s="25">
        <v>0.79439296010442795</v>
      </c>
    </row>
    <row r="58" spans="1:26" ht="17.5" thickBot="1" x14ac:dyDescent="0.45">
      <c r="B58" s="58">
        <v>57</v>
      </c>
      <c r="C58" s="59">
        <f>(輸入面板!$G$3*3/12+五股收盤價與其他數據彙總!$P$4*模擬股票報酬!$N116)*12/3</f>
        <v>-1.2827916671178963E-2</v>
      </c>
      <c r="D58" s="59">
        <f>(輸入面板!$H$3*3/12+五股收盤價與其他數據彙總!$Q$4*模擬股票報酬!$O116)*12/3</f>
        <v>6.7660756576138584E-2</v>
      </c>
      <c r="E58" s="59">
        <f>(輸入面板!$I$3*3/12+五股收盤價與其他數據彙總!$R$4*模擬股票報酬!$P116)*12/3</f>
        <v>6.2020164283721813E-2</v>
      </c>
      <c r="F58" s="59">
        <f>(輸入面板!$J$3*3/12+五股收盤價與其他數據彙總!$S$4*模擬股票報酬!$Q116)*12/3</f>
        <v>7.9290936418852098E-2</v>
      </c>
      <c r="G58" s="62">
        <f>(輸入面板!$K$3*3/12+五股收盤價與其他數據彙總!$T$4*模擬股票報酬!$R116)*12/3</f>
        <v>9.7420653887948724E-3</v>
      </c>
      <c r="M58" s="51">
        <v>57</v>
      </c>
      <c r="N58" s="91">
        <v>-0.77665850922089541</v>
      </c>
      <c r="O58" s="91">
        <v>-0.21733793661634729</v>
      </c>
      <c r="P58" s="91">
        <v>1.0632703831670587</v>
      </c>
      <c r="Q58" s="91">
        <v>1.7437439612031151</v>
      </c>
      <c r="R58" s="35">
        <v>-0.17531758322513114</v>
      </c>
      <c r="U58" s="27">
        <v>57</v>
      </c>
      <c r="V58" s="23">
        <v>0.21868013598096292</v>
      </c>
      <c r="W58" s="23">
        <v>0.41397249722357854</v>
      </c>
      <c r="X58" s="23">
        <v>0.85617032393270831</v>
      </c>
      <c r="Y58" s="23">
        <v>0.95939812698695426</v>
      </c>
      <c r="Z58" s="26">
        <v>0.4304150481611031</v>
      </c>
    </row>
    <row r="59" spans="1:26" ht="18" thickTop="1" thickBot="1" x14ac:dyDescent="0.45">
      <c r="A59" s="16"/>
      <c r="L59" s="50" t="s">
        <v>101</v>
      </c>
      <c r="M59" s="41" t="s">
        <v>90</v>
      </c>
      <c r="N59" s="42" t="s">
        <v>137</v>
      </c>
      <c r="O59" s="43" t="s">
        <v>138</v>
      </c>
      <c r="P59" s="44" t="s">
        <v>139</v>
      </c>
      <c r="Q59" s="43" t="s">
        <v>140</v>
      </c>
      <c r="R59" s="47" t="s">
        <v>141</v>
      </c>
    </row>
    <row r="60" spans="1:26" ht="17.5" thickBot="1" x14ac:dyDescent="0.45">
      <c r="A60" s="16"/>
      <c r="L60" s="104" t="s">
        <v>107</v>
      </c>
      <c r="M60" s="40">
        <v>1</v>
      </c>
      <c r="N60" s="91" cm="1">
        <f t="array" ref="N60:R60">(TRANSPOSE(MMULT(五股收盤價與其他數據彙總!$P$29:$T$33, TRANSPOSE(N2:R2))))</f>
        <v>1.2347810727987358</v>
      </c>
      <c r="O60" s="91">
        <v>0.49257472340225372</v>
      </c>
      <c r="P60" s="91">
        <v>0.25776697546078198</v>
      </c>
      <c r="Q60" s="91">
        <v>0.74434539026119206</v>
      </c>
      <c r="R60" s="48">
        <v>1.2028513861719967</v>
      </c>
    </row>
    <row r="61" spans="1:26" ht="17.5" thickTop="1" x14ac:dyDescent="0.4">
      <c r="A61" s="64"/>
      <c r="B61" s="54"/>
      <c r="C61" s="55" t="s">
        <v>142</v>
      </c>
      <c r="D61" s="56" t="s">
        <v>143</v>
      </c>
      <c r="E61" s="57" t="s">
        <v>144</v>
      </c>
      <c r="F61" s="56" t="s">
        <v>145</v>
      </c>
      <c r="G61" s="60" t="s">
        <v>146</v>
      </c>
      <c r="L61" s="105"/>
      <c r="M61" s="40">
        <v>2</v>
      </c>
      <c r="N61" s="91" cm="1">
        <f t="array" ref="N61:R61">(TRANSPOSE(MMULT(五股收盤價與其他數據彙總!$P$29:$T$33, TRANSPOSE(N3:R3))))</f>
        <v>-0.91967698564756306</v>
      </c>
      <c r="O61" s="91">
        <v>1.6639772241805706</v>
      </c>
      <c r="P61" s="91">
        <v>0.58742674252227667</v>
      </c>
      <c r="Q61" s="91">
        <v>0.35152408359047499</v>
      </c>
      <c r="R61" s="48">
        <v>-0.37988434521036218</v>
      </c>
    </row>
    <row r="62" spans="1:26" ht="17.5" thickBot="1" x14ac:dyDescent="0.45">
      <c r="A62" s="64"/>
      <c r="B62" s="65" t="s">
        <v>103</v>
      </c>
      <c r="C62" s="59">
        <f>AVERAGE(C2:C58)</f>
        <v>9.0654768668500668E-3</v>
      </c>
      <c r="D62" s="59">
        <f t="shared" ref="D62:G62" si="0">AVERAGE(D2:D58)</f>
        <v>9.3500063727623539E-2</v>
      </c>
      <c r="E62" s="59">
        <f t="shared" si="0"/>
        <v>4.1182752240036292E-2</v>
      </c>
      <c r="F62" s="59">
        <f t="shared" si="0"/>
        <v>2.3026435150552915E-2</v>
      </c>
      <c r="G62" s="62">
        <f t="shared" si="0"/>
        <v>1.1502644115913707E-2</v>
      </c>
      <c r="L62" s="105"/>
      <c r="M62" s="40">
        <v>3</v>
      </c>
      <c r="N62" s="91" cm="1">
        <f t="array" ref="N62:R62">(TRANSPOSE(MMULT(五股收盤價與其他數據彙總!$P$29:$T$33, TRANSPOSE(N4:R4))))</f>
        <v>0.66735110447603341</v>
      </c>
      <c r="O62" s="91">
        <v>2.3384055798695709</v>
      </c>
      <c r="P62" s="91">
        <v>0.58539229111300495</v>
      </c>
      <c r="Q62" s="91">
        <v>-0.77761877079080044</v>
      </c>
      <c r="R62" s="48">
        <v>1.5623786464543594</v>
      </c>
    </row>
    <row r="63" spans="1:26" ht="17.5" thickTop="1" x14ac:dyDescent="0.4">
      <c r="A63" s="16"/>
      <c r="L63" s="105"/>
      <c r="M63" s="40">
        <v>4</v>
      </c>
      <c r="N63" s="91" cm="1">
        <f t="array" ref="N63:R63">(TRANSPOSE(MMULT(五股收盤價與其他數據彙總!$P$29:$T$33, TRANSPOSE(N5:R5))))</f>
        <v>0.30263428278435106</v>
      </c>
      <c r="O63" s="91">
        <v>0.2253463790517517</v>
      </c>
      <c r="P63" s="91">
        <v>1.5134094300839966</v>
      </c>
      <c r="Q63" s="91">
        <v>1.3483832899800765</v>
      </c>
      <c r="R63" s="48">
        <v>-0.71244510476418033</v>
      </c>
    </row>
    <row r="64" spans="1:26" x14ac:dyDescent="0.4">
      <c r="A64" s="16"/>
      <c r="L64" s="105"/>
      <c r="M64" s="40">
        <v>5</v>
      </c>
      <c r="N64" s="91" cm="1">
        <f t="array" ref="N64:R64">(TRANSPOSE(MMULT(五股收盤價與其他數據彙總!$P$29:$T$33, TRANSPOSE(N6:R6))))</f>
        <v>-0.96656232574874912</v>
      </c>
      <c r="O64" s="91">
        <v>-0.19413839894341137</v>
      </c>
      <c r="P64" s="91">
        <v>-1.3046744783020296</v>
      </c>
      <c r="Q64" s="91">
        <v>-1.8796845733847607</v>
      </c>
      <c r="R64" s="48">
        <v>-0.51659951393283421</v>
      </c>
    </row>
    <row r="65" spans="1:18" x14ac:dyDescent="0.4">
      <c r="A65" s="16"/>
      <c r="L65" s="105"/>
      <c r="M65" s="40">
        <v>6</v>
      </c>
      <c r="N65" s="91" cm="1">
        <f t="array" ref="N65:R65">(TRANSPOSE(MMULT(五股收盤價與其他數據彙總!$P$29:$T$33, TRANSPOSE(N7:R7))))</f>
        <v>-0.83669113631374137</v>
      </c>
      <c r="O65" s="91">
        <v>0.78254650179041207</v>
      </c>
      <c r="P65" s="91">
        <v>0.62835375502872104</v>
      </c>
      <c r="Q65" s="91">
        <v>-0.51293178772419856</v>
      </c>
      <c r="R65" s="48">
        <v>0.72729769440780589</v>
      </c>
    </row>
    <row r="66" spans="1:18" x14ac:dyDescent="0.4">
      <c r="A66" s="16"/>
      <c r="L66" s="105"/>
      <c r="M66" s="40">
        <v>7</v>
      </c>
      <c r="N66" s="91" cm="1">
        <f t="array" ref="N66:R66">(TRANSPOSE(MMULT(五股收盤價與其他數據彙總!$P$29:$T$33, TRANSPOSE(N8:R8))))</f>
        <v>-5.4884143558117125E-2</v>
      </c>
      <c r="O66" s="91">
        <v>-1.9433961016735282</v>
      </c>
      <c r="P66" s="91">
        <v>-0.70534263793320395</v>
      </c>
      <c r="Q66" s="91">
        <v>-1.2827642514753794</v>
      </c>
      <c r="R66" s="48">
        <v>1.0356799851805714</v>
      </c>
    </row>
    <row r="67" spans="1:18" ht="17.5" thickBot="1" x14ac:dyDescent="0.45">
      <c r="A67" s="16"/>
      <c r="L67" s="106"/>
      <c r="M67" s="40">
        <v>8</v>
      </c>
      <c r="N67" s="91" cm="1">
        <f t="array" ref="N67:R67">(TRANSPOSE(MMULT(五股收盤價與其他數據彙總!$P$29:$T$33, TRANSPOSE(N9:R9))))</f>
        <v>-1.2360851250021776</v>
      </c>
      <c r="O67" s="91">
        <v>-0.33034608587720216</v>
      </c>
      <c r="P67" s="91">
        <v>-1.0638996624255148</v>
      </c>
      <c r="Q67" s="91">
        <v>-1.3920406575489519</v>
      </c>
      <c r="R67" s="48">
        <v>0.59744483001185733</v>
      </c>
    </row>
    <row r="68" spans="1:18" x14ac:dyDescent="0.4">
      <c r="A68" s="16"/>
      <c r="L68" s="17"/>
      <c r="M68" s="40">
        <v>9</v>
      </c>
      <c r="N68" s="91" cm="1">
        <f t="array" ref="N68:R68">(TRANSPOSE(MMULT(五股收盤價與其他數據彙總!$P$29:$T$33, TRANSPOSE(N10:R10))))</f>
        <v>-1.1672122427059572</v>
      </c>
      <c r="O68" s="91">
        <v>0.32649591668673245</v>
      </c>
      <c r="P68" s="91">
        <v>-0.50555768037884119</v>
      </c>
      <c r="Q68" s="91">
        <v>-0.35492532004936528</v>
      </c>
      <c r="R68" s="48">
        <v>-0.57765737489665803</v>
      </c>
    </row>
    <row r="69" spans="1:18" x14ac:dyDescent="0.4">
      <c r="A69" s="16"/>
      <c r="L69" s="15"/>
      <c r="M69" s="40">
        <v>10</v>
      </c>
      <c r="N69" s="91" cm="1">
        <f t="array" ref="N69:R69">(TRANSPOSE(MMULT(五股收盤價與其他數據彙總!$P$29:$T$33, TRANSPOSE(N11:R11))))</f>
        <v>0.37360088950657788</v>
      </c>
      <c r="O69" s="91">
        <v>0.65647010353508617</v>
      </c>
      <c r="P69" s="91">
        <v>-0.6918090933233636</v>
      </c>
      <c r="Q69" s="91">
        <v>-0.96294321038585784</v>
      </c>
      <c r="R69" s="48">
        <v>1.5475433909826601</v>
      </c>
    </row>
    <row r="70" spans="1:18" x14ac:dyDescent="0.4">
      <c r="A70" s="16"/>
      <c r="L70" s="15"/>
      <c r="M70" s="40">
        <v>11</v>
      </c>
      <c r="N70" s="91" cm="1">
        <f t="array" ref="N70:R70">(TRANSPOSE(MMULT(五股收盤價與其他數據彙總!$P$29:$T$33, TRANSPOSE(N12:R12))))</f>
        <v>-1.2007939788420192</v>
      </c>
      <c r="O70" s="91">
        <v>0.37864308715456568</v>
      </c>
      <c r="P70" s="91">
        <v>0.88979979986638025</v>
      </c>
      <c r="Q70" s="91">
        <v>-0.79313527129486694</v>
      </c>
      <c r="R70" s="48">
        <v>0.41093393668241174</v>
      </c>
    </row>
    <row r="71" spans="1:18" x14ac:dyDescent="0.4">
      <c r="A71" s="16"/>
      <c r="L71" s="15"/>
      <c r="M71" s="40">
        <v>12</v>
      </c>
      <c r="N71" s="91" cm="1">
        <f t="array" ref="N71:R71">(TRANSPOSE(MMULT(五股收盤價與其他數據彙總!$P$29:$T$33, TRANSPOSE(N13:R13))))</f>
        <v>-1.1127434797585627</v>
      </c>
      <c r="O71" s="91">
        <v>-2.3706761322134788</v>
      </c>
      <c r="P71" s="91">
        <v>-1.7221180306562935</v>
      </c>
      <c r="Q71" s="91">
        <v>-2.1560570829917256</v>
      </c>
      <c r="R71" s="48">
        <v>1.4906467252701407</v>
      </c>
    </row>
    <row r="72" spans="1:18" x14ac:dyDescent="0.4">
      <c r="A72" s="16"/>
      <c r="L72" s="15"/>
      <c r="M72" s="40">
        <v>13</v>
      </c>
      <c r="N72" s="91" cm="1">
        <f t="array" ref="N72:R72">(TRANSPOSE(MMULT(五股收盤價與其他數據彙總!$P$29:$T$33, TRANSPOSE(N14:R14))))</f>
        <v>-0.16575471474302711</v>
      </c>
      <c r="O72" s="91">
        <v>0.22903877489007912</v>
      </c>
      <c r="P72" s="91">
        <v>0.60062901081370856</v>
      </c>
      <c r="Q72" s="91">
        <v>0.83095053007832687</v>
      </c>
      <c r="R72" s="48">
        <v>-0.1132294760614094</v>
      </c>
    </row>
    <row r="73" spans="1:18" x14ac:dyDescent="0.4">
      <c r="A73" s="16"/>
      <c r="L73" s="15"/>
      <c r="M73" s="40">
        <v>14</v>
      </c>
      <c r="N73" s="91" cm="1">
        <f t="array" ref="N73:R73">(TRANSPOSE(MMULT(五股收盤價與其他數據彙總!$P$29:$T$33, TRANSPOSE(N15:R15))))</f>
        <v>0.20931939560160034</v>
      </c>
      <c r="O73" s="91">
        <v>1.7246254184997074</v>
      </c>
      <c r="P73" s="91">
        <v>-8.4573766584404297E-2</v>
      </c>
      <c r="Q73" s="91">
        <v>-0.4041982661038846</v>
      </c>
      <c r="R73" s="48">
        <v>-1.1802428281744617</v>
      </c>
    </row>
    <row r="74" spans="1:18" x14ac:dyDescent="0.4">
      <c r="A74" s="16"/>
      <c r="L74" s="15"/>
      <c r="M74" s="40">
        <v>15</v>
      </c>
      <c r="N74" s="91" cm="1">
        <f t="array" ref="N74:R74">(TRANSPOSE(MMULT(五股收盤價與其他數據彙總!$P$29:$T$33, TRANSPOSE(N16:R16))))</f>
        <v>-0.77651240814390088</v>
      </c>
      <c r="O74" s="91">
        <v>0.10466115211468344</v>
      </c>
      <c r="P74" s="91">
        <v>3.0410293670070906E-2</v>
      </c>
      <c r="Q74" s="91">
        <v>1.927208309670865E-3</v>
      </c>
      <c r="R74" s="48">
        <v>0.89145729754124714</v>
      </c>
    </row>
    <row r="75" spans="1:18" x14ac:dyDescent="0.4">
      <c r="A75" s="16"/>
      <c r="L75" s="15"/>
      <c r="M75" s="40">
        <v>16</v>
      </c>
      <c r="N75" s="91" cm="1">
        <f t="array" ref="N75:R75">(TRANSPOSE(MMULT(五股收盤價與其他數據彙總!$P$29:$T$33, TRANSPOSE(N17:R17))))</f>
        <v>-0.37967993189899846</v>
      </c>
      <c r="O75" s="91">
        <v>-1.0087532862533268</v>
      </c>
      <c r="P75" s="91">
        <v>0.20348368860207078</v>
      </c>
      <c r="Q75" s="91">
        <v>-0.8443801788065628</v>
      </c>
      <c r="R75" s="48">
        <v>0.44425207204598827</v>
      </c>
    </row>
    <row r="76" spans="1:18" x14ac:dyDescent="0.4">
      <c r="A76" s="16"/>
      <c r="L76" s="15"/>
      <c r="M76" s="40">
        <v>17</v>
      </c>
      <c r="N76" s="91" cm="1">
        <f t="array" ref="N76:R76">(TRANSPOSE(MMULT(五股收盤價與其他數據彙總!$P$29:$T$33, TRANSPOSE(N18:R18))))</f>
        <v>-0.14400312234758403</v>
      </c>
      <c r="O76" s="91">
        <v>0.36225240849955637</v>
      </c>
      <c r="P76" s="91">
        <v>-0.49118483853361117</v>
      </c>
      <c r="Q76" s="91">
        <v>-1.3590027440779795</v>
      </c>
      <c r="R76" s="48">
        <v>-9.8820424225665615E-2</v>
      </c>
    </row>
    <row r="77" spans="1:18" x14ac:dyDescent="0.4">
      <c r="A77" s="16"/>
      <c r="L77" s="15"/>
      <c r="M77" s="40">
        <v>18</v>
      </c>
      <c r="N77" s="91" cm="1">
        <f t="array" ref="N77:R77">(TRANSPOSE(MMULT(五股收盤價與其他數據彙總!$P$29:$T$33, TRANSPOSE(N19:R19))))</f>
        <v>0.30000189951894402</v>
      </c>
      <c r="O77" s="91">
        <v>-1.6019747079041913</v>
      </c>
      <c r="P77" s="91">
        <v>-1.5259329393048895</v>
      </c>
      <c r="Q77" s="91">
        <v>-0.77674872237943959</v>
      </c>
      <c r="R77" s="48">
        <v>-1.0008821631728455</v>
      </c>
    </row>
    <row r="78" spans="1:18" x14ac:dyDescent="0.4">
      <c r="A78" s="16"/>
      <c r="L78" s="15"/>
      <c r="M78" s="40">
        <v>19</v>
      </c>
      <c r="N78" s="91" cm="1">
        <f t="array" ref="N78:R78">(TRANSPOSE(MMULT(五股收盤價與其他數據彙總!$P$29:$T$33, TRANSPOSE(N20:R20))))</f>
        <v>-0.70352825981383971</v>
      </c>
      <c r="O78" s="91">
        <v>-0.24248882156484028</v>
      </c>
      <c r="P78" s="91">
        <v>1.4172687531770434</v>
      </c>
      <c r="Q78" s="91">
        <v>1.3375913729607418</v>
      </c>
      <c r="R78" s="48">
        <v>-0.38702796002316692</v>
      </c>
    </row>
    <row r="79" spans="1:18" x14ac:dyDescent="0.4">
      <c r="A79" s="16"/>
      <c r="L79" s="15"/>
      <c r="M79" s="40">
        <v>20</v>
      </c>
      <c r="N79" s="91" cm="1">
        <f t="array" ref="N79:R79">(TRANSPOSE(MMULT(五股收盤價與其他數據彙總!$P$29:$T$33, TRANSPOSE(N21:R21))))</f>
        <v>0.70452865976370471</v>
      </c>
      <c r="O79" s="91">
        <v>1.4033924243309692</v>
      </c>
      <c r="P79" s="91">
        <v>0.95401517877567232</v>
      </c>
      <c r="Q79" s="91">
        <v>1.2146681482606048</v>
      </c>
      <c r="R79" s="48">
        <v>0.44449550686143835</v>
      </c>
    </row>
    <row r="80" spans="1:18" x14ac:dyDescent="0.4">
      <c r="A80" s="16"/>
      <c r="L80" s="15"/>
      <c r="M80" s="40">
        <v>21</v>
      </c>
      <c r="N80" s="91" cm="1">
        <f t="array" ref="N80:R80">(TRANSPOSE(MMULT(五股收盤價與其他數據彙總!$P$29:$T$33, TRANSPOSE(N22:R22))))</f>
        <v>1.1621549172299812</v>
      </c>
      <c r="O80" s="91">
        <v>-1.2881606186366465</v>
      </c>
      <c r="P80" s="91">
        <v>-0.97165607388741848</v>
      </c>
      <c r="Q80" s="91">
        <v>-2.0238126456800236</v>
      </c>
      <c r="R80" s="48">
        <v>0.94414734788079968</v>
      </c>
    </row>
    <row r="81" spans="1:18" x14ac:dyDescent="0.4">
      <c r="A81" s="16"/>
      <c r="L81" s="15"/>
      <c r="M81" s="40">
        <v>22</v>
      </c>
      <c r="N81" s="91" cm="1">
        <f t="array" ref="N81:R81">(TRANSPOSE(MMULT(五股收盤價與其他數據彙總!$P$29:$T$33, TRANSPOSE(N23:R23))))</f>
        <v>-0.78772712060733918</v>
      </c>
      <c r="O81" s="91">
        <v>-0.80800667579141083</v>
      </c>
      <c r="P81" s="91">
        <v>1.0743708988847493</v>
      </c>
      <c r="Q81" s="91">
        <v>0.2553643427804706</v>
      </c>
      <c r="R81" s="48">
        <v>0.68828466796656484</v>
      </c>
    </row>
    <row r="82" spans="1:18" x14ac:dyDescent="0.4">
      <c r="A82" s="16"/>
      <c r="L82" s="15"/>
      <c r="M82" s="40">
        <v>23</v>
      </c>
      <c r="N82" s="91" cm="1">
        <f t="array" ref="N82:R82">(TRANSPOSE(MMULT(五股收盤價與其他數據彙總!$P$29:$T$33, TRANSPOSE(N24:R24))))</f>
        <v>9.7221866826661077E-2</v>
      </c>
      <c r="O82" s="91">
        <v>0.66956252557297979</v>
      </c>
      <c r="P82" s="91">
        <v>0.39502073637900798</v>
      </c>
      <c r="Q82" s="91">
        <v>0.77890373447200711</v>
      </c>
      <c r="R82" s="48">
        <v>0.69590367668041875</v>
      </c>
    </row>
    <row r="83" spans="1:18" x14ac:dyDescent="0.4">
      <c r="A83" s="16"/>
      <c r="L83" s="15"/>
      <c r="M83" s="40">
        <v>24</v>
      </c>
      <c r="N83" s="91" cm="1">
        <f t="array" ref="N83:R83">(TRANSPOSE(MMULT(五股收盤價與其他數據彙總!$P$29:$T$33, TRANSPOSE(N25:R25))))</f>
        <v>1.412472002488975</v>
      </c>
      <c r="O83" s="91">
        <v>-0.72375200778778248</v>
      </c>
      <c r="P83" s="91">
        <v>-1.24998351382937</v>
      </c>
      <c r="Q83" s="91">
        <v>0.59499693679720034</v>
      </c>
      <c r="R83" s="48">
        <v>9.1665235511401294E-2</v>
      </c>
    </row>
    <row r="84" spans="1:18" x14ac:dyDescent="0.4">
      <c r="A84" s="16"/>
      <c r="L84" s="15"/>
      <c r="M84" s="40">
        <v>25</v>
      </c>
      <c r="N84" s="91" cm="1">
        <f t="array" ref="N84:R84">(TRANSPOSE(MMULT(五股收盤價與其他數據彙總!$P$29:$T$33, TRANSPOSE(N26:R26))))</f>
        <v>-1.6099834036947085</v>
      </c>
      <c r="O84" s="91">
        <v>-0.28412031505707469</v>
      </c>
      <c r="P84" s="91">
        <v>0.68161961436157958</v>
      </c>
      <c r="Q84" s="91">
        <v>0.76751069314023379</v>
      </c>
      <c r="R84" s="48">
        <v>0.88290445180213306</v>
      </c>
    </row>
    <row r="85" spans="1:18" x14ac:dyDescent="0.4">
      <c r="A85" s="16"/>
      <c r="L85" s="15"/>
      <c r="M85" s="40">
        <v>26</v>
      </c>
      <c r="N85" s="91" cm="1">
        <f t="array" ref="N85:R85">(TRANSPOSE(MMULT(五股收盤價與其他數據彙總!$P$29:$T$33, TRANSPOSE(N27:R27))))</f>
        <v>-1.0436040893625771</v>
      </c>
      <c r="O85" s="91">
        <v>-1.3949627786376164</v>
      </c>
      <c r="P85" s="91">
        <v>0.58636084274623446</v>
      </c>
      <c r="Q85" s="91">
        <v>-1.0859811164358233</v>
      </c>
      <c r="R85" s="48">
        <v>0.30681024796284068</v>
      </c>
    </row>
    <row r="86" spans="1:18" x14ac:dyDescent="0.4">
      <c r="A86" s="16"/>
      <c r="L86" s="15"/>
      <c r="M86" s="40">
        <v>27</v>
      </c>
      <c r="N86" s="91" cm="1">
        <f t="array" ref="N86:R86">(TRANSPOSE(MMULT(五股收盤價與其他數據彙總!$P$29:$T$33, TRANSPOSE(N28:R28))))</f>
        <v>0.36670766769081981</v>
      </c>
      <c r="O86" s="91">
        <v>0.3531891658632651</v>
      </c>
      <c r="P86" s="91">
        <v>-0.72326539260010558</v>
      </c>
      <c r="Q86" s="91">
        <v>-0.46908977640167132</v>
      </c>
      <c r="R86" s="48">
        <v>-1.1564599908523556</v>
      </c>
    </row>
    <row r="87" spans="1:18" x14ac:dyDescent="0.4">
      <c r="A87" s="16"/>
      <c r="L87" s="15"/>
      <c r="M87" s="40">
        <v>28</v>
      </c>
      <c r="N87" s="91" cm="1">
        <f t="array" ref="N87:R87">(TRANSPOSE(MMULT(五股收盤價與其他數據彙總!$P$29:$T$33, TRANSPOSE(N29:R29))))</f>
        <v>4.8102969173733148E-2</v>
      </c>
      <c r="O87" s="91">
        <v>0.50474892392226967</v>
      </c>
      <c r="P87" s="91">
        <v>0.88676624396580772</v>
      </c>
      <c r="Q87" s="91">
        <v>0.47198097697805041</v>
      </c>
      <c r="R87" s="48">
        <v>0.35242453560155773</v>
      </c>
    </row>
    <row r="88" spans="1:18" x14ac:dyDescent="0.4">
      <c r="A88" s="16"/>
      <c r="L88" s="15"/>
      <c r="M88" s="40">
        <v>29</v>
      </c>
      <c r="N88" s="91" cm="1">
        <f t="array" ref="N88:R88">(TRANSPOSE(MMULT(五股收盤價與其他數據彙總!$P$29:$T$33, TRANSPOSE(N30:R30))))</f>
        <v>7.473377892204322E-2</v>
      </c>
      <c r="O88" s="91">
        <v>7.0129099789474209E-2</v>
      </c>
      <c r="P88" s="91">
        <v>0.44669174761958397</v>
      </c>
      <c r="Q88" s="91">
        <v>-0.11614625421372771</v>
      </c>
      <c r="R88" s="48">
        <v>-2.2712229598394797</v>
      </c>
    </row>
    <row r="89" spans="1:18" x14ac:dyDescent="0.4">
      <c r="A89" s="16"/>
      <c r="L89" s="15"/>
      <c r="M89" s="40">
        <v>30</v>
      </c>
      <c r="N89" s="91" cm="1">
        <f t="array" ref="N89:R89">(TRANSPOSE(MMULT(五股收盤價與其他數據彙總!$P$29:$T$33, TRANSPOSE(N31:R31))))</f>
        <v>-0.72033203332748064</v>
      </c>
      <c r="O89" s="91">
        <v>-9.2876931461267354E-3</v>
      </c>
      <c r="P89" s="91">
        <v>-1.5435934363368988</v>
      </c>
      <c r="Q89" s="91">
        <v>-1.2125975826450106</v>
      </c>
      <c r="R89" s="48">
        <v>-0.30194051416750023</v>
      </c>
    </row>
    <row r="90" spans="1:18" x14ac:dyDescent="0.4">
      <c r="A90" s="16"/>
      <c r="L90" s="15"/>
      <c r="M90" s="40">
        <v>31</v>
      </c>
      <c r="N90" s="91" cm="1">
        <f t="array" ref="N90:R90">(TRANSPOSE(MMULT(五股收盤價與其他數據彙總!$P$29:$T$33, TRANSPOSE(N32:R32))))</f>
        <v>1.4149335383912285</v>
      </c>
      <c r="O90" s="91">
        <v>-0.43304977151286617</v>
      </c>
      <c r="P90" s="91">
        <v>-1.2386296423334899</v>
      </c>
      <c r="Q90" s="91">
        <v>-1.370683343335009</v>
      </c>
      <c r="R90" s="48">
        <v>3.765007002028653E-2</v>
      </c>
    </row>
    <row r="91" spans="1:18" x14ac:dyDescent="0.4">
      <c r="A91" s="16"/>
      <c r="L91" s="15"/>
      <c r="M91" s="40">
        <v>32</v>
      </c>
      <c r="N91" s="91" cm="1">
        <f t="array" ref="N91:R91">(TRANSPOSE(MMULT(五股收盤價與其他數據彙總!$P$29:$T$33, TRANSPOSE(N33:R33))))</f>
        <v>-0.35129923864764129</v>
      </c>
      <c r="O91" s="91">
        <v>1.5227639717039292</v>
      </c>
      <c r="P91" s="91">
        <v>0.36397720384138499</v>
      </c>
      <c r="Q91" s="91">
        <v>0.54691689528278398</v>
      </c>
      <c r="R91" s="48">
        <v>-0.95740817637366971</v>
      </c>
    </row>
    <row r="92" spans="1:18" x14ac:dyDescent="0.4">
      <c r="A92" s="16"/>
      <c r="L92" s="15"/>
      <c r="M92" s="40">
        <v>33</v>
      </c>
      <c r="N92" s="91" cm="1">
        <f t="array" ref="N92:R92">(TRANSPOSE(MMULT(五股收盤價與其他數據彙總!$P$29:$T$33, TRANSPOSE(N34:R34))))</f>
        <v>4.5186833784431321E-2</v>
      </c>
      <c r="O92" s="91">
        <v>0.92032026770676789</v>
      </c>
      <c r="P92" s="91">
        <v>2.2115199886939259</v>
      </c>
      <c r="Q92" s="91">
        <v>1.6057029520080088</v>
      </c>
      <c r="R92" s="48">
        <v>1.1513199808600065</v>
      </c>
    </row>
    <row r="93" spans="1:18" x14ac:dyDescent="0.4">
      <c r="A93" s="16"/>
      <c r="L93" s="15"/>
      <c r="M93" s="40">
        <v>34</v>
      </c>
      <c r="N93" s="91" cm="1">
        <f t="array" ref="N93:R93">(TRANSPOSE(MMULT(五股收盤價與其他數據彙總!$P$29:$T$33, TRANSPOSE(N35:R35))))</f>
        <v>-0.95175584224762677</v>
      </c>
      <c r="O93" s="91">
        <v>-1.9228831428871016</v>
      </c>
      <c r="P93" s="91">
        <v>-1.5125248202299022</v>
      </c>
      <c r="Q93" s="91">
        <v>-1.0496810173029858</v>
      </c>
      <c r="R93" s="48">
        <v>9.0494213594490003E-2</v>
      </c>
    </row>
    <row r="94" spans="1:18" x14ac:dyDescent="0.4">
      <c r="A94" s="16"/>
      <c r="L94" s="15"/>
      <c r="M94" s="40">
        <v>35</v>
      </c>
      <c r="N94" s="91" cm="1">
        <f t="array" ref="N94:R94">(TRANSPOSE(MMULT(五股收盤價與其他數據彙總!$P$29:$T$33, TRANSPOSE(N36:R36))))</f>
        <v>-0.68991265108815902</v>
      </c>
      <c r="O94" s="91">
        <v>-1.2008524880422591</v>
      </c>
      <c r="P94" s="91">
        <v>-2.4432100824309857</v>
      </c>
      <c r="Q94" s="91">
        <v>-1.6282123592953051</v>
      </c>
      <c r="R94" s="48">
        <v>-1.327559294133914</v>
      </c>
    </row>
    <row r="95" spans="1:18" x14ac:dyDescent="0.4">
      <c r="A95" s="16"/>
      <c r="L95" s="15"/>
      <c r="M95" s="40">
        <v>36</v>
      </c>
      <c r="N95" s="91" cm="1">
        <f t="array" ref="N95:R95">(TRANSPOSE(MMULT(五股收盤價與其他數據彙總!$P$29:$T$33, TRANSPOSE(N37:R37))))</f>
        <v>0.37459513823206708</v>
      </c>
      <c r="O95" s="91">
        <v>-0.34625066690061912</v>
      </c>
      <c r="P95" s="91">
        <v>0.54117138029929612</v>
      </c>
      <c r="Q95" s="91">
        <v>-7.3636057775247177E-2</v>
      </c>
      <c r="R95" s="48">
        <v>-2.6960539660919824E-2</v>
      </c>
    </row>
    <row r="96" spans="1:18" x14ac:dyDescent="0.4">
      <c r="A96" s="16"/>
      <c r="L96" s="15"/>
      <c r="M96" s="40">
        <v>37</v>
      </c>
      <c r="N96" s="91" cm="1">
        <f t="array" ref="N96:R96">(TRANSPOSE(MMULT(五股收盤價與其他數據彙總!$P$29:$T$33, TRANSPOSE(N38:R38))))</f>
        <v>-0.60750122189256273</v>
      </c>
      <c r="O96" s="91">
        <v>0.39040453814842946</v>
      </c>
      <c r="P96" s="91">
        <v>-1.0607195015525426</v>
      </c>
      <c r="Q96" s="91">
        <v>-1.2498946637510011</v>
      </c>
      <c r="R96" s="48">
        <v>-2.6092962180279198</v>
      </c>
    </row>
    <row r="97" spans="1:18" x14ac:dyDescent="0.4">
      <c r="A97" s="16"/>
      <c r="L97" s="15"/>
      <c r="M97" s="40">
        <v>38</v>
      </c>
      <c r="N97" s="91" cm="1">
        <f t="array" ref="N97:R97">(TRANSPOSE(MMULT(五股收盤價與其他數據彙總!$P$29:$T$33, TRANSPOSE(N39:R39))))</f>
        <v>1.9051276176282232</v>
      </c>
      <c r="O97" s="91">
        <v>-0.56125653172364709</v>
      </c>
      <c r="P97" s="91">
        <v>0.94387190434520885</v>
      </c>
      <c r="Q97" s="91">
        <v>0.77315969296738241</v>
      </c>
      <c r="R97" s="48">
        <v>-1.2937601217833015</v>
      </c>
    </row>
    <row r="98" spans="1:18" x14ac:dyDescent="0.4">
      <c r="A98" s="16"/>
      <c r="L98" s="15"/>
      <c r="M98" s="40">
        <v>39</v>
      </c>
      <c r="N98" s="91" cm="1">
        <f t="array" ref="N98:R98">(TRANSPOSE(MMULT(五股收盤價與其他數據彙總!$P$29:$T$33, TRANSPOSE(N40:R40))))</f>
        <v>0.57368843678514714</v>
      </c>
      <c r="O98" s="91">
        <v>-1.3118764896832347</v>
      </c>
      <c r="P98" s="91">
        <v>-1.2032677920912471</v>
      </c>
      <c r="Q98" s="91">
        <v>-3.0161113731928588</v>
      </c>
      <c r="R98" s="48">
        <v>0.37907798308418117</v>
      </c>
    </row>
    <row r="99" spans="1:18" x14ac:dyDescent="0.4">
      <c r="A99" s="16"/>
      <c r="L99" s="15"/>
      <c r="M99" s="40">
        <v>40</v>
      </c>
      <c r="N99" s="91" cm="1">
        <f t="array" ref="N99:R99">(TRANSPOSE(MMULT(五股收盤價與其他數據彙總!$P$29:$T$33, TRANSPOSE(N41:R41))))</f>
        <v>-0.90007166885586909</v>
      </c>
      <c r="O99" s="91">
        <v>0.5009461517556647</v>
      </c>
      <c r="P99" s="91">
        <v>-1.7110684719238733</v>
      </c>
      <c r="Q99" s="91">
        <v>-1.3990524254374994</v>
      </c>
      <c r="R99" s="48">
        <v>-4.5880160246901891E-2</v>
      </c>
    </row>
    <row r="100" spans="1:18" x14ac:dyDescent="0.4">
      <c r="A100" s="16"/>
      <c r="L100" s="15"/>
      <c r="M100" s="40">
        <v>41</v>
      </c>
      <c r="N100" s="91" cm="1">
        <f t="array" ref="N100:R100">(TRANSPOSE(MMULT(五股收盤價與其他數據彙總!$P$29:$T$33, TRANSPOSE(N42:R42))))</f>
        <v>-0.2504755369277169</v>
      </c>
      <c r="O100" s="91">
        <v>-1.6600934433451184</v>
      </c>
      <c r="P100" s="91">
        <v>0.74821569946854083</v>
      </c>
      <c r="Q100" s="91">
        <v>1.7224202644550912</v>
      </c>
      <c r="R100" s="48">
        <v>-0.46873569660273501</v>
      </c>
    </row>
    <row r="101" spans="1:18" x14ac:dyDescent="0.4">
      <c r="A101" s="16"/>
      <c r="L101" s="15"/>
      <c r="M101" s="40">
        <v>42</v>
      </c>
      <c r="N101" s="91" cm="1">
        <f t="array" ref="N101:R101">(TRANSPOSE(MMULT(五股收盤價與其他數據彙總!$P$29:$T$33, TRANSPOSE(N43:R43))))</f>
        <v>-0.65271802326991424</v>
      </c>
      <c r="O101" s="91">
        <v>-0.28408618132811714</v>
      </c>
      <c r="P101" s="91">
        <v>0.26511376957698463</v>
      </c>
      <c r="Q101" s="91">
        <v>-0.85285440445287353</v>
      </c>
      <c r="R101" s="48">
        <v>1.362662516334701</v>
      </c>
    </row>
    <row r="102" spans="1:18" x14ac:dyDescent="0.4">
      <c r="A102" s="16"/>
      <c r="L102" s="15"/>
      <c r="M102" s="40">
        <v>43</v>
      </c>
      <c r="N102" s="91" cm="1">
        <f t="array" ref="N102:R102">(TRANSPOSE(MMULT(五股收盤價與其他數據彙總!$P$29:$T$33, TRANSPOSE(N44:R44))))</f>
        <v>-0.27509743963329047</v>
      </c>
      <c r="O102" s="91">
        <v>-1.2281649485435411</v>
      </c>
      <c r="P102" s="91">
        <v>-1.1567634520508048</v>
      </c>
      <c r="Q102" s="91">
        <v>0.27306224458425343</v>
      </c>
      <c r="R102" s="48">
        <v>0.27177827543075078</v>
      </c>
    </row>
    <row r="103" spans="1:18" x14ac:dyDescent="0.4">
      <c r="A103" s="16"/>
      <c r="L103" s="15"/>
      <c r="M103" s="40">
        <v>44</v>
      </c>
      <c r="N103" s="91" cm="1">
        <f t="array" ref="N103:R103">(TRANSPOSE(MMULT(五股收盤價與其他數據彙總!$P$29:$T$33, TRANSPOSE(N45:R45))))</f>
        <v>-1.9424090511517171</v>
      </c>
      <c r="O103" s="91">
        <v>-0.95210585731230224</v>
      </c>
      <c r="P103" s="91">
        <v>-0.8543230030081872</v>
      </c>
      <c r="Q103" s="91">
        <v>-1.0885638395930042</v>
      </c>
      <c r="R103" s="48">
        <v>-1.5992550686914422</v>
      </c>
    </row>
    <row r="104" spans="1:18" x14ac:dyDescent="0.4">
      <c r="A104" s="16"/>
      <c r="L104" s="15"/>
      <c r="M104" s="40">
        <v>45</v>
      </c>
      <c r="N104" s="91" cm="1">
        <f t="array" ref="N104:R104">(TRANSPOSE(MMULT(五股收盤價與其他數據彙總!$P$29:$T$33, TRANSPOSE(N46:R46))))</f>
        <v>0.25111076080277905</v>
      </c>
      <c r="O104" s="91">
        <v>1.6621772182777601</v>
      </c>
      <c r="P104" s="91">
        <v>1.6652118678678571</v>
      </c>
      <c r="Q104" s="91">
        <v>-1.5931194152652539E-2</v>
      </c>
      <c r="R104" s="48">
        <v>-1.0350574079547696</v>
      </c>
    </row>
    <row r="105" spans="1:18" x14ac:dyDescent="0.4">
      <c r="A105" s="16"/>
      <c r="L105" s="15"/>
      <c r="M105" s="40">
        <v>46</v>
      </c>
      <c r="N105" s="91" cm="1">
        <f t="array" ref="N105:R105">(TRANSPOSE(MMULT(五股收盤價與其他數據彙總!$P$29:$T$33, TRANSPOSE(N47:R47))))</f>
        <v>0.43834319432079194</v>
      </c>
      <c r="O105" s="91">
        <v>1.6758281662859791</v>
      </c>
      <c r="P105" s="91">
        <v>0.56854858567836719</v>
      </c>
      <c r="Q105" s="91">
        <v>2.3311932507024458E-2</v>
      </c>
      <c r="R105" s="48">
        <v>7.0329893677515798E-2</v>
      </c>
    </row>
    <row r="106" spans="1:18" x14ac:dyDescent="0.4">
      <c r="A106" s="16"/>
      <c r="L106" s="15"/>
      <c r="M106" s="40">
        <v>47</v>
      </c>
      <c r="N106" s="91" cm="1">
        <f t="array" ref="N106:R106">(TRANSPOSE(MMULT(五股收盤價與其他數據彙總!$P$29:$T$33, TRANSPOSE(N48:R48))))</f>
        <v>2.0698602838013054</v>
      </c>
      <c r="O106" s="91">
        <v>0.43269240503820744</v>
      </c>
      <c r="P106" s="91">
        <v>-0.26862453477645992</v>
      </c>
      <c r="Q106" s="91">
        <v>0.80834257243407137</v>
      </c>
      <c r="R106" s="48">
        <v>1.570322853480641</v>
      </c>
    </row>
    <row r="107" spans="1:18" x14ac:dyDescent="0.4">
      <c r="A107" s="16"/>
      <c r="L107" s="15"/>
      <c r="M107" s="40">
        <v>48</v>
      </c>
      <c r="N107" s="91" cm="1">
        <f t="array" ref="N107:R107">(TRANSPOSE(MMULT(五股收盤價與其他數據彙總!$P$29:$T$33, TRANSPOSE(N49:R49))))</f>
        <v>-1.634539072583937</v>
      </c>
      <c r="O107" s="91">
        <v>-0.49882246839909794</v>
      </c>
      <c r="P107" s="91">
        <v>-2.1011083451953594</v>
      </c>
      <c r="Q107" s="91">
        <v>-1.1044612693078961</v>
      </c>
      <c r="R107" s="48">
        <v>-0.93437482724664844</v>
      </c>
    </row>
    <row r="108" spans="1:18" x14ac:dyDescent="0.4">
      <c r="A108" s="16"/>
      <c r="L108" s="15"/>
      <c r="M108" s="40">
        <v>49</v>
      </c>
      <c r="N108" s="91" cm="1">
        <f t="array" ref="N108:R108">(TRANSPOSE(MMULT(五股收盤價與其他數據彙總!$P$29:$T$33, TRANSPOSE(N50:R50))))</f>
        <v>0.67284629973489751</v>
      </c>
      <c r="O108" s="91">
        <v>1.0315470690978237</v>
      </c>
      <c r="P108" s="91">
        <v>1.9894687166923575</v>
      </c>
      <c r="Q108" s="91">
        <v>0.52797145424510028</v>
      </c>
      <c r="R108" s="48">
        <v>0.47099548402175939</v>
      </c>
    </row>
    <row r="109" spans="1:18" x14ac:dyDescent="0.4">
      <c r="A109" s="16"/>
      <c r="L109" s="15"/>
      <c r="M109" s="40">
        <v>50</v>
      </c>
      <c r="N109" s="91" cm="1">
        <f t="array" ref="N109:R109">(TRANSPOSE(MMULT(五股收盤價與其他數據彙總!$P$29:$T$33, TRANSPOSE(N51:R51))))</f>
        <v>-0.43264170229210397</v>
      </c>
      <c r="O109" s="91">
        <v>0.82403947624915053</v>
      </c>
      <c r="P109" s="91">
        <v>0.82629962451162098</v>
      </c>
      <c r="Q109" s="91">
        <v>1.3191629293595577</v>
      </c>
      <c r="R109" s="48">
        <v>-0.28346228247614558</v>
      </c>
    </row>
    <row r="110" spans="1:18" x14ac:dyDescent="0.4">
      <c r="A110" s="16"/>
      <c r="L110" s="15"/>
      <c r="M110" s="40">
        <v>51</v>
      </c>
      <c r="N110" s="91" cm="1">
        <f t="array" ref="N110:R110">(TRANSPOSE(MMULT(五股收盤價與其他數據彙總!$P$29:$T$33, TRANSPOSE(N52:R52))))</f>
        <v>-1.7776389953243259</v>
      </c>
      <c r="O110" s="91">
        <v>-2.3460272325509899</v>
      </c>
      <c r="P110" s="91">
        <v>-0.72298759223380527</v>
      </c>
      <c r="Q110" s="91">
        <v>-0.204209665060053</v>
      </c>
      <c r="R110" s="48">
        <v>0.66281064973345138</v>
      </c>
    </row>
    <row r="111" spans="1:18" x14ac:dyDescent="0.4">
      <c r="A111" s="16"/>
      <c r="L111" s="15"/>
      <c r="M111" s="40">
        <v>52</v>
      </c>
      <c r="N111" s="91" cm="1">
        <f t="array" ref="N111:R111">(TRANSPOSE(MMULT(五股收盤價與其他數據彙總!$P$29:$T$33, TRANSPOSE(N53:R53))))</f>
        <v>1.7074700880368956</v>
      </c>
      <c r="O111" s="91">
        <v>2.1532700548108021</v>
      </c>
      <c r="P111" s="91">
        <v>3.5798279586088158</v>
      </c>
      <c r="Q111" s="91">
        <v>3.7491139516221108</v>
      </c>
      <c r="R111" s="48">
        <v>-3.6230539297979814E-2</v>
      </c>
    </row>
    <row r="112" spans="1:18" x14ac:dyDescent="0.4">
      <c r="A112" s="16"/>
      <c r="L112" s="15"/>
      <c r="M112" s="40">
        <v>53</v>
      </c>
      <c r="N112" s="91" cm="1">
        <f t="array" ref="N112:R112">(TRANSPOSE(MMULT(五股收盤價與其他數據彙總!$P$29:$T$33, TRANSPOSE(N54:R54))))</f>
        <v>0.73347056163033197</v>
      </c>
      <c r="O112" s="91">
        <v>1.2458948722333338</v>
      </c>
      <c r="P112" s="91">
        <v>-2.1096466913113643</v>
      </c>
      <c r="Q112" s="91">
        <v>-2.3746249110369391</v>
      </c>
      <c r="R112" s="48">
        <v>-6.8411864108356979E-2</v>
      </c>
    </row>
    <row r="113" spans="1:18" x14ac:dyDescent="0.4">
      <c r="A113" s="16"/>
      <c r="L113" s="15"/>
      <c r="M113" s="40">
        <v>54</v>
      </c>
      <c r="N113" s="91" cm="1">
        <f t="array" ref="N113:R113">(TRANSPOSE(MMULT(五股收盤價與其他數據彙總!$P$29:$T$33, TRANSPOSE(N55:R55))))</f>
        <v>-0.85565801243699646</v>
      </c>
      <c r="O113" s="91">
        <v>-1.1618175956976842</v>
      </c>
      <c r="P113" s="91">
        <v>-0.91880046509667679</v>
      </c>
      <c r="Q113" s="91">
        <v>-1.2722069749841038</v>
      </c>
      <c r="R113" s="48">
        <v>-1.660847538336883</v>
      </c>
    </row>
    <row r="114" spans="1:18" x14ac:dyDescent="0.4">
      <c r="A114" s="16"/>
      <c r="L114" s="15"/>
      <c r="M114" s="40">
        <v>55</v>
      </c>
      <c r="N114" s="91" cm="1">
        <f t="array" ref="N114:R114">(TRANSPOSE(MMULT(五股收盤價與其他數據彙總!$P$29:$T$33, TRANSPOSE(N56:R56))))</f>
        <v>-0.18180718833984746</v>
      </c>
      <c r="O114" s="91">
        <v>-0.30715920388630702</v>
      </c>
      <c r="P114" s="91">
        <v>1.6693043617164405</v>
      </c>
      <c r="Q114" s="91">
        <v>0.92305758103670832</v>
      </c>
      <c r="R114" s="48">
        <v>-0.50630669062653011</v>
      </c>
    </row>
    <row r="115" spans="1:18" x14ac:dyDescent="0.4">
      <c r="A115" s="16"/>
      <c r="L115" s="15"/>
      <c r="M115" s="40">
        <v>56</v>
      </c>
      <c r="N115" s="91" cm="1">
        <f t="array" ref="N115:R115">(TRANSPOSE(MMULT(五股收盤價與其他數據彙總!$P$29:$T$33, TRANSPOSE(N57:R57))))</f>
        <v>1.1783082451712348</v>
      </c>
      <c r="O115" s="91">
        <v>-0.74197302528777143</v>
      </c>
      <c r="P115" s="91">
        <v>2.1744806378879482</v>
      </c>
      <c r="Q115" s="91">
        <v>1.2567067064160342</v>
      </c>
      <c r="R115" s="48">
        <v>1.8342437643906537</v>
      </c>
    </row>
    <row r="116" spans="1:18" ht="17.5" thickBot="1" x14ac:dyDescent="0.45">
      <c r="A116" s="16"/>
      <c r="L116" s="15"/>
      <c r="M116" s="45">
        <v>57</v>
      </c>
      <c r="N116" s="46" cm="1">
        <f t="array" ref="N116:R116">(TRANSPOSE(MMULT(五股收盤價與其他數據彙總!$P$29:$T$33, TRANSPOSE(N58:R58))))</f>
        <v>-0.77665850922089541</v>
      </c>
      <c r="O116" s="46">
        <v>-0.40779140395153674</v>
      </c>
      <c r="P116" s="46">
        <v>0.69754866666909765</v>
      </c>
      <c r="Q116" s="46">
        <v>1.6109396518746513</v>
      </c>
      <c r="R116" s="49">
        <v>-8.5566260305481576E-2</v>
      </c>
    </row>
    <row r="117" spans="1:18" ht="17.5" thickTop="1" x14ac:dyDescent="0.4">
      <c r="A117" s="16"/>
    </row>
    <row r="118" spans="1:18" x14ac:dyDescent="0.4">
      <c r="A118" s="16"/>
    </row>
    <row r="119" spans="1:18" x14ac:dyDescent="0.4">
      <c r="A119" s="16"/>
    </row>
    <row r="120" spans="1:18" x14ac:dyDescent="0.4">
      <c r="A120" s="16"/>
    </row>
    <row r="121" spans="1:18" x14ac:dyDescent="0.4">
      <c r="A121" s="16"/>
    </row>
    <row r="122" spans="1:18" x14ac:dyDescent="0.4">
      <c r="A122" s="16"/>
    </row>
    <row r="123" spans="1:18" x14ac:dyDescent="0.4">
      <c r="A123" s="16"/>
    </row>
    <row r="124" spans="1:18" x14ac:dyDescent="0.4">
      <c r="A124" s="16"/>
    </row>
    <row r="125" spans="1:18" x14ac:dyDescent="0.4">
      <c r="A125" s="16"/>
    </row>
    <row r="126" spans="1:18" x14ac:dyDescent="0.4">
      <c r="A126" s="16"/>
    </row>
    <row r="127" spans="1:18" x14ac:dyDescent="0.4">
      <c r="A127" s="16"/>
    </row>
    <row r="128" spans="1:18" x14ac:dyDescent="0.4">
      <c r="A128" s="16"/>
    </row>
    <row r="129" spans="1:1" x14ac:dyDescent="0.4">
      <c r="A129" s="16"/>
    </row>
    <row r="130" spans="1:1" x14ac:dyDescent="0.4">
      <c r="A130" s="16"/>
    </row>
    <row r="131" spans="1:1" x14ac:dyDescent="0.4">
      <c r="A131" s="16"/>
    </row>
    <row r="132" spans="1:1" x14ac:dyDescent="0.4">
      <c r="A132" s="16"/>
    </row>
    <row r="133" spans="1:1" x14ac:dyDescent="0.4">
      <c r="A133" s="16"/>
    </row>
    <row r="134" spans="1:1" x14ac:dyDescent="0.4">
      <c r="A134" s="16"/>
    </row>
    <row r="135" spans="1:1" x14ac:dyDescent="0.4">
      <c r="A135" s="16"/>
    </row>
    <row r="136" spans="1:1" x14ac:dyDescent="0.4">
      <c r="A136" s="16"/>
    </row>
    <row r="137" spans="1:1" x14ac:dyDescent="0.4">
      <c r="A137" s="16"/>
    </row>
    <row r="138" spans="1:1" x14ac:dyDescent="0.4">
      <c r="A138" s="16"/>
    </row>
    <row r="139" spans="1:1" x14ac:dyDescent="0.4">
      <c r="A139" s="16"/>
    </row>
    <row r="140" spans="1:1" x14ac:dyDescent="0.4">
      <c r="A140" s="16"/>
    </row>
    <row r="141" spans="1:1" x14ac:dyDescent="0.4">
      <c r="A141" s="16"/>
    </row>
    <row r="142" spans="1:1" x14ac:dyDescent="0.4">
      <c r="A142" s="16"/>
    </row>
    <row r="143" spans="1:1" x14ac:dyDescent="0.4">
      <c r="A143" s="16"/>
    </row>
    <row r="144" spans="1:1" x14ac:dyDescent="0.4">
      <c r="A144" s="16"/>
    </row>
    <row r="145" spans="1:1" x14ac:dyDescent="0.4">
      <c r="A145" s="16"/>
    </row>
    <row r="146" spans="1:1" x14ac:dyDescent="0.4">
      <c r="A146" s="16"/>
    </row>
    <row r="147" spans="1:1" x14ac:dyDescent="0.4">
      <c r="A147" s="16"/>
    </row>
    <row r="148" spans="1:1" x14ac:dyDescent="0.4">
      <c r="A148" s="16"/>
    </row>
    <row r="149" spans="1:1" x14ac:dyDescent="0.4">
      <c r="A149" s="16"/>
    </row>
    <row r="150" spans="1:1" x14ac:dyDescent="0.4">
      <c r="A150" s="16"/>
    </row>
    <row r="151" spans="1:1" x14ac:dyDescent="0.4">
      <c r="A151" s="16"/>
    </row>
    <row r="152" spans="1:1" x14ac:dyDescent="0.4">
      <c r="A152" s="16"/>
    </row>
    <row r="153" spans="1:1" x14ac:dyDescent="0.4">
      <c r="A153" s="16"/>
    </row>
    <row r="154" spans="1:1" x14ac:dyDescent="0.4">
      <c r="A154" s="16"/>
    </row>
    <row r="155" spans="1:1" x14ac:dyDescent="0.4">
      <c r="A155" s="16"/>
    </row>
    <row r="156" spans="1:1" x14ac:dyDescent="0.4">
      <c r="A156" s="16"/>
    </row>
    <row r="157" spans="1:1" x14ac:dyDescent="0.4">
      <c r="A157" s="16"/>
    </row>
    <row r="158" spans="1:1" x14ac:dyDescent="0.4">
      <c r="A158" s="16"/>
    </row>
    <row r="159" spans="1:1" x14ac:dyDescent="0.4">
      <c r="A159" s="16"/>
    </row>
    <row r="160" spans="1:1" x14ac:dyDescent="0.4">
      <c r="A160" s="16"/>
    </row>
    <row r="161" spans="1:1" x14ac:dyDescent="0.4">
      <c r="A161" s="16"/>
    </row>
    <row r="162" spans="1:1" x14ac:dyDescent="0.4">
      <c r="A162" s="16"/>
    </row>
    <row r="163" spans="1:1" x14ac:dyDescent="0.4">
      <c r="A163" s="16"/>
    </row>
    <row r="164" spans="1:1" x14ac:dyDescent="0.4">
      <c r="A164" s="16"/>
    </row>
    <row r="165" spans="1:1" x14ac:dyDescent="0.4">
      <c r="A165" s="16"/>
    </row>
    <row r="166" spans="1:1" x14ac:dyDescent="0.4">
      <c r="A166" s="16"/>
    </row>
    <row r="167" spans="1:1" x14ac:dyDescent="0.4">
      <c r="A167" s="16"/>
    </row>
    <row r="168" spans="1:1" x14ac:dyDescent="0.4">
      <c r="A168" s="16"/>
    </row>
    <row r="169" spans="1:1" x14ac:dyDescent="0.4">
      <c r="A169" s="16"/>
    </row>
    <row r="170" spans="1:1" x14ac:dyDescent="0.4">
      <c r="A170" s="16"/>
    </row>
    <row r="171" spans="1:1" x14ac:dyDescent="0.4">
      <c r="A171" s="16"/>
    </row>
    <row r="172" spans="1:1" x14ac:dyDescent="0.4">
      <c r="A172" s="16"/>
    </row>
    <row r="173" spans="1:1" x14ac:dyDescent="0.4">
      <c r="A173" s="16"/>
    </row>
    <row r="174" spans="1:1" x14ac:dyDescent="0.4">
      <c r="A174" s="16"/>
    </row>
    <row r="175" spans="1:1" x14ac:dyDescent="0.4">
      <c r="A175" s="16"/>
    </row>
    <row r="176" spans="1:1" x14ac:dyDescent="0.4">
      <c r="A176" s="16"/>
    </row>
    <row r="177" spans="1:1" x14ac:dyDescent="0.4">
      <c r="A177" s="16"/>
    </row>
    <row r="178" spans="1:1" x14ac:dyDescent="0.4">
      <c r="A178" s="16"/>
    </row>
    <row r="179" spans="1:1" x14ac:dyDescent="0.4">
      <c r="A179" s="16"/>
    </row>
    <row r="180" spans="1:1" x14ac:dyDescent="0.4">
      <c r="A180" s="16"/>
    </row>
    <row r="181" spans="1:1" x14ac:dyDescent="0.4">
      <c r="A181" s="16"/>
    </row>
    <row r="182" spans="1:1" x14ac:dyDescent="0.4">
      <c r="A182" s="16"/>
    </row>
    <row r="183" spans="1:1" x14ac:dyDescent="0.4">
      <c r="A183" s="16"/>
    </row>
    <row r="184" spans="1:1" x14ac:dyDescent="0.4">
      <c r="A184" s="16"/>
    </row>
    <row r="185" spans="1:1" x14ac:dyDescent="0.4">
      <c r="A185" s="16"/>
    </row>
    <row r="186" spans="1:1" x14ac:dyDescent="0.4">
      <c r="A186" s="16"/>
    </row>
    <row r="187" spans="1:1" x14ac:dyDescent="0.4">
      <c r="A187" s="16"/>
    </row>
    <row r="188" spans="1:1" x14ac:dyDescent="0.4">
      <c r="A188" s="16"/>
    </row>
    <row r="189" spans="1:1" x14ac:dyDescent="0.4">
      <c r="A189" s="16"/>
    </row>
    <row r="190" spans="1:1" x14ac:dyDescent="0.4">
      <c r="A190" s="16"/>
    </row>
    <row r="191" spans="1:1" x14ac:dyDescent="0.4">
      <c r="A191" s="16"/>
    </row>
    <row r="192" spans="1:1" x14ac:dyDescent="0.4">
      <c r="A192" s="16"/>
    </row>
    <row r="193" spans="1:1" x14ac:dyDescent="0.4">
      <c r="A193" s="16"/>
    </row>
    <row r="194" spans="1:1" x14ac:dyDescent="0.4">
      <c r="A194" s="16"/>
    </row>
    <row r="195" spans="1:1" x14ac:dyDescent="0.4">
      <c r="A195" s="16"/>
    </row>
    <row r="196" spans="1:1" x14ac:dyDescent="0.4">
      <c r="A196" s="16"/>
    </row>
    <row r="197" spans="1:1" x14ac:dyDescent="0.4">
      <c r="A197" s="16"/>
    </row>
    <row r="198" spans="1:1" x14ac:dyDescent="0.4">
      <c r="A198" s="16"/>
    </row>
    <row r="199" spans="1:1" x14ac:dyDescent="0.4">
      <c r="A199" s="16"/>
    </row>
    <row r="200" spans="1:1" x14ac:dyDescent="0.4">
      <c r="A200" s="16"/>
    </row>
    <row r="201" spans="1:1" x14ac:dyDescent="0.4">
      <c r="A201" s="16"/>
    </row>
    <row r="202" spans="1:1" x14ac:dyDescent="0.4">
      <c r="A202" s="16"/>
    </row>
    <row r="203" spans="1:1" x14ac:dyDescent="0.4">
      <c r="A203" s="16"/>
    </row>
    <row r="204" spans="1:1" x14ac:dyDescent="0.4">
      <c r="A204" s="16"/>
    </row>
    <row r="205" spans="1:1" x14ac:dyDescent="0.4">
      <c r="A205" s="16"/>
    </row>
    <row r="206" spans="1:1" x14ac:dyDescent="0.4">
      <c r="A206" s="16"/>
    </row>
    <row r="207" spans="1:1" x14ac:dyDescent="0.4">
      <c r="A207" s="16"/>
    </row>
    <row r="208" spans="1:1" x14ac:dyDescent="0.4">
      <c r="A208" s="16"/>
    </row>
    <row r="209" spans="1:1" x14ac:dyDescent="0.4">
      <c r="A209" s="16"/>
    </row>
    <row r="210" spans="1:1" x14ac:dyDescent="0.4">
      <c r="A210" s="16"/>
    </row>
    <row r="211" spans="1:1" x14ac:dyDescent="0.4">
      <c r="A211" s="16"/>
    </row>
    <row r="212" spans="1:1" x14ac:dyDescent="0.4">
      <c r="A212" s="16"/>
    </row>
    <row r="213" spans="1:1" x14ac:dyDescent="0.4">
      <c r="A213" s="16"/>
    </row>
    <row r="214" spans="1:1" x14ac:dyDescent="0.4">
      <c r="A214" s="16"/>
    </row>
    <row r="215" spans="1:1" x14ac:dyDescent="0.4">
      <c r="A215" s="16"/>
    </row>
    <row r="216" spans="1:1" x14ac:dyDescent="0.4">
      <c r="A216" s="16"/>
    </row>
    <row r="217" spans="1:1" x14ac:dyDescent="0.4">
      <c r="A217" s="16"/>
    </row>
    <row r="218" spans="1:1" x14ac:dyDescent="0.4">
      <c r="A218" s="16"/>
    </row>
    <row r="219" spans="1:1" x14ac:dyDescent="0.4">
      <c r="A219" s="16"/>
    </row>
    <row r="220" spans="1:1" x14ac:dyDescent="0.4">
      <c r="A220" s="16"/>
    </row>
    <row r="221" spans="1:1" x14ac:dyDescent="0.4">
      <c r="A221" s="16"/>
    </row>
    <row r="222" spans="1:1" x14ac:dyDescent="0.4">
      <c r="A222" s="16"/>
    </row>
    <row r="223" spans="1:1" x14ac:dyDescent="0.4">
      <c r="A223" s="16"/>
    </row>
    <row r="224" spans="1:1" x14ac:dyDescent="0.4">
      <c r="A224" s="16"/>
    </row>
    <row r="225" spans="1:1" x14ac:dyDescent="0.4">
      <c r="A225" s="16"/>
    </row>
    <row r="226" spans="1:1" x14ac:dyDescent="0.4">
      <c r="A226" s="16"/>
    </row>
    <row r="227" spans="1:1" x14ac:dyDescent="0.4">
      <c r="A227" s="16"/>
    </row>
    <row r="228" spans="1:1" x14ac:dyDescent="0.4">
      <c r="A228" s="16"/>
    </row>
    <row r="229" spans="1:1" x14ac:dyDescent="0.4">
      <c r="A229" s="16"/>
    </row>
    <row r="230" spans="1:1" x14ac:dyDescent="0.4">
      <c r="A230" s="16"/>
    </row>
    <row r="231" spans="1:1" x14ac:dyDescent="0.4">
      <c r="A231" s="16"/>
    </row>
    <row r="232" spans="1:1" x14ac:dyDescent="0.4">
      <c r="A232" s="16"/>
    </row>
    <row r="233" spans="1:1" x14ac:dyDescent="0.4">
      <c r="A233" s="16"/>
    </row>
    <row r="234" spans="1:1" x14ac:dyDescent="0.4">
      <c r="A234" s="16"/>
    </row>
    <row r="235" spans="1:1" x14ac:dyDescent="0.4">
      <c r="A235" s="16"/>
    </row>
    <row r="236" spans="1:1" x14ac:dyDescent="0.4">
      <c r="A236" s="16"/>
    </row>
    <row r="237" spans="1:1" x14ac:dyDescent="0.4">
      <c r="A237" s="16"/>
    </row>
    <row r="238" spans="1:1" x14ac:dyDescent="0.4">
      <c r="A238" s="16"/>
    </row>
    <row r="239" spans="1:1" x14ac:dyDescent="0.4">
      <c r="A239" s="16"/>
    </row>
    <row r="240" spans="1:1" x14ac:dyDescent="0.4">
      <c r="A240" s="16"/>
    </row>
    <row r="241" spans="1:1" x14ac:dyDescent="0.4">
      <c r="A241" s="16"/>
    </row>
    <row r="242" spans="1:1" x14ac:dyDescent="0.4">
      <c r="A242" s="16"/>
    </row>
    <row r="243" spans="1:1" x14ac:dyDescent="0.4">
      <c r="A243" s="16"/>
    </row>
    <row r="244" spans="1:1" x14ac:dyDescent="0.4">
      <c r="A244" s="16"/>
    </row>
    <row r="245" spans="1:1" x14ac:dyDescent="0.4">
      <c r="A245" s="16"/>
    </row>
    <row r="246" spans="1:1" x14ac:dyDescent="0.4">
      <c r="A246" s="16"/>
    </row>
    <row r="247" spans="1:1" x14ac:dyDescent="0.4">
      <c r="A247" s="16"/>
    </row>
    <row r="248" spans="1:1" x14ac:dyDescent="0.4">
      <c r="A248" s="16"/>
    </row>
    <row r="249" spans="1:1" x14ac:dyDescent="0.4">
      <c r="A249" s="16"/>
    </row>
    <row r="250" spans="1:1" x14ac:dyDescent="0.4">
      <c r="A250" s="16"/>
    </row>
    <row r="251" spans="1:1" x14ac:dyDescent="0.4">
      <c r="A251" s="16"/>
    </row>
    <row r="252" spans="1:1" x14ac:dyDescent="0.4">
      <c r="A252" s="16"/>
    </row>
    <row r="253" spans="1:1" x14ac:dyDescent="0.4">
      <c r="A253" s="16"/>
    </row>
    <row r="254" spans="1:1" x14ac:dyDescent="0.4">
      <c r="A254" s="16"/>
    </row>
    <row r="255" spans="1:1" x14ac:dyDescent="0.4">
      <c r="A255" s="16"/>
    </row>
    <row r="256" spans="1:1" x14ac:dyDescent="0.4">
      <c r="A256" s="16"/>
    </row>
    <row r="257" spans="1:1" x14ac:dyDescent="0.4">
      <c r="A257" s="16"/>
    </row>
    <row r="258" spans="1:1" x14ac:dyDescent="0.4">
      <c r="A258" s="16"/>
    </row>
    <row r="259" spans="1:1" x14ac:dyDescent="0.4">
      <c r="A259" s="16"/>
    </row>
    <row r="260" spans="1:1" x14ac:dyDescent="0.4">
      <c r="A260" s="16"/>
    </row>
    <row r="261" spans="1:1" x14ac:dyDescent="0.4">
      <c r="A261" s="16"/>
    </row>
    <row r="262" spans="1:1" x14ac:dyDescent="0.4">
      <c r="A262" s="16"/>
    </row>
    <row r="263" spans="1:1" x14ac:dyDescent="0.4">
      <c r="A263" s="16"/>
    </row>
    <row r="264" spans="1:1" x14ac:dyDescent="0.4">
      <c r="A264" s="16"/>
    </row>
    <row r="265" spans="1:1" x14ac:dyDescent="0.4">
      <c r="A265" s="16"/>
    </row>
    <row r="266" spans="1:1" x14ac:dyDescent="0.4">
      <c r="A266" s="16"/>
    </row>
    <row r="267" spans="1:1" x14ac:dyDescent="0.4">
      <c r="A267" s="16"/>
    </row>
    <row r="268" spans="1:1" x14ac:dyDescent="0.4">
      <c r="A268" s="16"/>
    </row>
    <row r="269" spans="1:1" x14ac:dyDescent="0.4">
      <c r="A269" s="16"/>
    </row>
    <row r="270" spans="1:1" x14ac:dyDescent="0.4">
      <c r="A270" s="16"/>
    </row>
    <row r="271" spans="1:1" x14ac:dyDescent="0.4">
      <c r="A271" s="16"/>
    </row>
    <row r="272" spans="1:1" x14ac:dyDescent="0.4">
      <c r="A272" s="16"/>
    </row>
    <row r="273" spans="1:1" x14ac:dyDescent="0.4">
      <c r="A273" s="16"/>
    </row>
    <row r="274" spans="1:1" x14ac:dyDescent="0.4">
      <c r="A274" s="16"/>
    </row>
    <row r="275" spans="1:1" x14ac:dyDescent="0.4">
      <c r="A275" s="16"/>
    </row>
    <row r="276" spans="1:1" x14ac:dyDescent="0.4">
      <c r="A276" s="16"/>
    </row>
    <row r="277" spans="1:1" x14ac:dyDescent="0.4">
      <c r="A277" s="16"/>
    </row>
    <row r="278" spans="1:1" x14ac:dyDescent="0.4">
      <c r="A278" s="16"/>
    </row>
    <row r="279" spans="1:1" x14ac:dyDescent="0.4">
      <c r="A279" s="16"/>
    </row>
    <row r="280" spans="1:1" x14ac:dyDescent="0.4">
      <c r="A280" s="16"/>
    </row>
    <row r="281" spans="1:1" x14ac:dyDescent="0.4">
      <c r="A281" s="16"/>
    </row>
    <row r="282" spans="1:1" x14ac:dyDescent="0.4">
      <c r="A282" s="16"/>
    </row>
    <row r="283" spans="1:1" x14ac:dyDescent="0.4">
      <c r="A283" s="16"/>
    </row>
    <row r="284" spans="1:1" x14ac:dyDescent="0.4">
      <c r="A284" s="16"/>
    </row>
    <row r="285" spans="1:1" x14ac:dyDescent="0.4">
      <c r="A285" s="16"/>
    </row>
    <row r="286" spans="1:1" x14ac:dyDescent="0.4">
      <c r="A286" s="16"/>
    </row>
    <row r="287" spans="1:1" x14ac:dyDescent="0.4">
      <c r="A287" s="16"/>
    </row>
    <row r="288" spans="1:1" x14ac:dyDescent="0.4">
      <c r="A288" s="16"/>
    </row>
    <row r="289" spans="1:1" x14ac:dyDescent="0.4">
      <c r="A289" s="16"/>
    </row>
    <row r="290" spans="1:1" x14ac:dyDescent="0.4">
      <c r="A290" s="16"/>
    </row>
    <row r="291" spans="1:1" x14ac:dyDescent="0.4">
      <c r="A291" s="16"/>
    </row>
    <row r="292" spans="1:1" x14ac:dyDescent="0.4">
      <c r="A292" s="16"/>
    </row>
    <row r="293" spans="1:1" x14ac:dyDescent="0.4">
      <c r="A293" s="16"/>
    </row>
    <row r="294" spans="1:1" x14ac:dyDescent="0.4">
      <c r="A294" s="16"/>
    </row>
    <row r="295" spans="1:1" x14ac:dyDescent="0.4">
      <c r="A295" s="16"/>
    </row>
    <row r="296" spans="1:1" x14ac:dyDescent="0.4">
      <c r="A296" s="16"/>
    </row>
    <row r="297" spans="1:1" x14ac:dyDescent="0.4">
      <c r="A297" s="16"/>
    </row>
    <row r="298" spans="1:1" x14ac:dyDescent="0.4">
      <c r="A298" s="16"/>
    </row>
    <row r="299" spans="1:1" x14ac:dyDescent="0.4">
      <c r="A299" s="16"/>
    </row>
    <row r="300" spans="1:1" x14ac:dyDescent="0.4">
      <c r="A300" s="16"/>
    </row>
    <row r="301" spans="1:1" x14ac:dyDescent="0.4">
      <c r="A301" s="16"/>
    </row>
    <row r="302" spans="1:1" x14ac:dyDescent="0.4">
      <c r="A302" s="16"/>
    </row>
    <row r="303" spans="1:1" x14ac:dyDescent="0.4">
      <c r="A303" s="16"/>
    </row>
    <row r="304" spans="1:1" x14ac:dyDescent="0.4">
      <c r="A304" s="16"/>
    </row>
    <row r="305" spans="1:1" x14ac:dyDescent="0.4">
      <c r="A305" s="16"/>
    </row>
    <row r="306" spans="1:1" x14ac:dyDescent="0.4">
      <c r="A306" s="16"/>
    </row>
    <row r="307" spans="1:1" x14ac:dyDescent="0.4">
      <c r="A307" s="16"/>
    </row>
    <row r="308" spans="1:1" x14ac:dyDescent="0.4">
      <c r="A308" s="16"/>
    </row>
    <row r="309" spans="1:1" x14ac:dyDescent="0.4">
      <c r="A309" s="16"/>
    </row>
    <row r="310" spans="1:1" x14ac:dyDescent="0.4">
      <c r="A310" s="16"/>
    </row>
    <row r="311" spans="1:1" x14ac:dyDescent="0.4">
      <c r="A311" s="16"/>
    </row>
    <row r="312" spans="1:1" x14ac:dyDescent="0.4">
      <c r="A312" s="16"/>
    </row>
    <row r="313" spans="1:1" x14ac:dyDescent="0.4">
      <c r="A313" s="16"/>
    </row>
    <row r="314" spans="1:1" x14ac:dyDescent="0.4">
      <c r="A314" s="16"/>
    </row>
    <row r="315" spans="1:1" x14ac:dyDescent="0.4">
      <c r="A315" s="16"/>
    </row>
    <row r="316" spans="1:1" x14ac:dyDescent="0.4">
      <c r="A316" s="16"/>
    </row>
    <row r="317" spans="1:1" x14ac:dyDescent="0.4">
      <c r="A317" s="16"/>
    </row>
    <row r="318" spans="1:1" x14ac:dyDescent="0.4">
      <c r="A318" s="16"/>
    </row>
    <row r="319" spans="1:1" x14ac:dyDescent="0.4">
      <c r="A319" s="16"/>
    </row>
    <row r="320" spans="1:1" x14ac:dyDescent="0.4">
      <c r="A320" s="16"/>
    </row>
    <row r="321" spans="1:1" x14ac:dyDescent="0.4">
      <c r="A321" s="16"/>
    </row>
    <row r="322" spans="1:1" x14ac:dyDescent="0.4">
      <c r="A322" s="16"/>
    </row>
    <row r="323" spans="1:1" x14ac:dyDescent="0.4">
      <c r="A323" s="16"/>
    </row>
    <row r="324" spans="1:1" x14ac:dyDescent="0.4">
      <c r="A324" s="16"/>
    </row>
    <row r="325" spans="1:1" x14ac:dyDescent="0.4">
      <c r="A325" s="16"/>
    </row>
    <row r="326" spans="1:1" x14ac:dyDescent="0.4">
      <c r="A326" s="16"/>
    </row>
    <row r="327" spans="1:1" x14ac:dyDescent="0.4">
      <c r="A327" s="16"/>
    </row>
    <row r="328" spans="1:1" x14ac:dyDescent="0.4">
      <c r="A328" s="16"/>
    </row>
    <row r="329" spans="1:1" x14ac:dyDescent="0.4">
      <c r="A329" s="16"/>
    </row>
    <row r="330" spans="1:1" x14ac:dyDescent="0.4">
      <c r="A330" s="16"/>
    </row>
    <row r="331" spans="1:1" x14ac:dyDescent="0.4">
      <c r="A331" s="16"/>
    </row>
    <row r="332" spans="1:1" x14ac:dyDescent="0.4">
      <c r="A332" s="16"/>
    </row>
    <row r="333" spans="1:1" x14ac:dyDescent="0.4">
      <c r="A333" s="16"/>
    </row>
    <row r="334" spans="1:1" x14ac:dyDescent="0.4">
      <c r="A334" s="16"/>
    </row>
    <row r="335" spans="1:1" x14ac:dyDescent="0.4">
      <c r="A335" s="16"/>
    </row>
    <row r="336" spans="1:1" x14ac:dyDescent="0.4">
      <c r="A336" s="16"/>
    </row>
    <row r="337" spans="1:1" x14ac:dyDescent="0.4">
      <c r="A337" s="16"/>
    </row>
    <row r="338" spans="1:1" x14ac:dyDescent="0.4">
      <c r="A338" s="16"/>
    </row>
    <row r="339" spans="1:1" x14ac:dyDescent="0.4">
      <c r="A339" s="16"/>
    </row>
    <row r="340" spans="1:1" x14ac:dyDescent="0.4">
      <c r="A340" s="16"/>
    </row>
    <row r="341" spans="1:1" x14ac:dyDescent="0.4">
      <c r="A341" s="16"/>
    </row>
    <row r="342" spans="1:1" x14ac:dyDescent="0.4">
      <c r="A342" s="16"/>
    </row>
    <row r="343" spans="1:1" x14ac:dyDescent="0.4">
      <c r="A343" s="16"/>
    </row>
    <row r="344" spans="1:1" x14ac:dyDescent="0.4">
      <c r="A344" s="16"/>
    </row>
    <row r="345" spans="1:1" x14ac:dyDescent="0.4">
      <c r="A345" s="16"/>
    </row>
    <row r="346" spans="1:1" x14ac:dyDescent="0.4">
      <c r="A346" s="16"/>
    </row>
    <row r="347" spans="1:1" x14ac:dyDescent="0.4">
      <c r="A347" s="16"/>
    </row>
    <row r="348" spans="1:1" x14ac:dyDescent="0.4">
      <c r="A348" s="16"/>
    </row>
    <row r="349" spans="1:1" x14ac:dyDescent="0.4">
      <c r="A349" s="16"/>
    </row>
    <row r="350" spans="1:1" x14ac:dyDescent="0.4">
      <c r="A350" s="16"/>
    </row>
    <row r="351" spans="1:1" x14ac:dyDescent="0.4">
      <c r="A351" s="16"/>
    </row>
    <row r="352" spans="1:1" x14ac:dyDescent="0.4">
      <c r="A352" s="16"/>
    </row>
    <row r="353" spans="1:1" x14ac:dyDescent="0.4">
      <c r="A353" s="16"/>
    </row>
    <row r="354" spans="1:1" x14ac:dyDescent="0.4">
      <c r="A354" s="16"/>
    </row>
    <row r="355" spans="1:1" x14ac:dyDescent="0.4">
      <c r="A355" s="16"/>
    </row>
    <row r="356" spans="1:1" x14ac:dyDescent="0.4">
      <c r="A356" s="16"/>
    </row>
    <row r="357" spans="1:1" x14ac:dyDescent="0.4">
      <c r="A357" s="16"/>
    </row>
    <row r="358" spans="1:1" x14ac:dyDescent="0.4">
      <c r="A358" s="16"/>
    </row>
    <row r="359" spans="1:1" x14ac:dyDescent="0.4">
      <c r="A359" s="16"/>
    </row>
    <row r="360" spans="1:1" x14ac:dyDescent="0.4">
      <c r="A360" s="16"/>
    </row>
    <row r="361" spans="1:1" x14ac:dyDescent="0.4">
      <c r="A361" s="16"/>
    </row>
    <row r="362" spans="1:1" x14ac:dyDescent="0.4">
      <c r="A362" s="16"/>
    </row>
    <row r="363" spans="1:1" x14ac:dyDescent="0.4">
      <c r="A363" s="16"/>
    </row>
    <row r="364" spans="1:1" x14ac:dyDescent="0.4">
      <c r="A364" s="16"/>
    </row>
    <row r="365" spans="1:1" x14ac:dyDescent="0.4">
      <c r="A365" s="16"/>
    </row>
    <row r="366" spans="1:1" x14ac:dyDescent="0.4">
      <c r="A366" s="16"/>
    </row>
    <row r="367" spans="1:1" x14ac:dyDescent="0.4">
      <c r="A367" s="16"/>
    </row>
    <row r="368" spans="1:1" x14ac:dyDescent="0.4">
      <c r="A368" s="16"/>
    </row>
    <row r="369" spans="1:1" x14ac:dyDescent="0.4">
      <c r="A369" s="16"/>
    </row>
    <row r="370" spans="1:1" x14ac:dyDescent="0.4">
      <c r="A370" s="16"/>
    </row>
    <row r="371" spans="1:1" x14ac:dyDescent="0.4">
      <c r="A371" s="16"/>
    </row>
    <row r="372" spans="1:1" x14ac:dyDescent="0.4">
      <c r="A372" s="16"/>
    </row>
    <row r="373" spans="1:1" x14ac:dyDescent="0.4">
      <c r="A373" s="16"/>
    </row>
    <row r="374" spans="1:1" x14ac:dyDescent="0.4">
      <c r="A374" s="16"/>
    </row>
    <row r="375" spans="1:1" x14ac:dyDescent="0.4">
      <c r="A375" s="16"/>
    </row>
    <row r="376" spans="1:1" x14ac:dyDescent="0.4">
      <c r="A376" s="16"/>
    </row>
    <row r="377" spans="1:1" x14ac:dyDescent="0.4">
      <c r="A377" s="16"/>
    </row>
    <row r="378" spans="1:1" x14ac:dyDescent="0.4">
      <c r="A378" s="16"/>
    </row>
    <row r="379" spans="1:1" x14ac:dyDescent="0.4">
      <c r="A379" s="16"/>
    </row>
    <row r="380" spans="1:1" x14ac:dyDescent="0.4">
      <c r="A380" s="16"/>
    </row>
    <row r="381" spans="1:1" x14ac:dyDescent="0.4">
      <c r="A381" s="16"/>
    </row>
    <row r="382" spans="1:1" x14ac:dyDescent="0.4">
      <c r="A382" s="16"/>
    </row>
    <row r="383" spans="1:1" x14ac:dyDescent="0.4">
      <c r="A383" s="16"/>
    </row>
    <row r="384" spans="1:1" x14ac:dyDescent="0.4">
      <c r="A384" s="16"/>
    </row>
    <row r="385" spans="1:1" x14ac:dyDescent="0.4">
      <c r="A385" s="16"/>
    </row>
    <row r="386" spans="1:1" x14ac:dyDescent="0.4">
      <c r="A386" s="16"/>
    </row>
    <row r="387" spans="1:1" x14ac:dyDescent="0.4">
      <c r="A387" s="16"/>
    </row>
    <row r="388" spans="1:1" x14ac:dyDescent="0.4">
      <c r="A388" s="16"/>
    </row>
    <row r="389" spans="1:1" x14ac:dyDescent="0.4">
      <c r="A389" s="16"/>
    </row>
    <row r="390" spans="1:1" x14ac:dyDescent="0.4">
      <c r="A390" s="16"/>
    </row>
    <row r="391" spans="1:1" x14ac:dyDescent="0.4">
      <c r="A391" s="16"/>
    </row>
    <row r="392" spans="1:1" x14ac:dyDescent="0.4">
      <c r="A392" s="16"/>
    </row>
    <row r="393" spans="1:1" x14ac:dyDescent="0.4">
      <c r="A393" s="16"/>
    </row>
    <row r="394" spans="1:1" x14ac:dyDescent="0.4">
      <c r="A394" s="16"/>
    </row>
    <row r="395" spans="1:1" x14ac:dyDescent="0.4">
      <c r="A395" s="16"/>
    </row>
    <row r="396" spans="1:1" x14ac:dyDescent="0.4">
      <c r="A396" s="16"/>
    </row>
    <row r="397" spans="1:1" x14ac:dyDescent="0.4">
      <c r="A397" s="16"/>
    </row>
    <row r="398" spans="1:1" x14ac:dyDescent="0.4">
      <c r="A398" s="16"/>
    </row>
    <row r="399" spans="1:1" x14ac:dyDescent="0.4">
      <c r="A399" s="16"/>
    </row>
    <row r="400" spans="1:1" x14ac:dyDescent="0.4">
      <c r="A400" s="16"/>
    </row>
    <row r="401" spans="1:1" x14ac:dyDescent="0.4">
      <c r="A401" s="16"/>
    </row>
    <row r="402" spans="1:1" x14ac:dyDescent="0.4">
      <c r="A402" s="16"/>
    </row>
    <row r="403" spans="1:1" x14ac:dyDescent="0.4">
      <c r="A403" s="16"/>
    </row>
    <row r="404" spans="1:1" x14ac:dyDescent="0.4">
      <c r="A404" s="16"/>
    </row>
    <row r="405" spans="1:1" x14ac:dyDescent="0.4">
      <c r="A405" s="16"/>
    </row>
    <row r="406" spans="1:1" x14ac:dyDescent="0.4">
      <c r="A406" s="16"/>
    </row>
    <row r="407" spans="1:1" x14ac:dyDescent="0.4">
      <c r="A407" s="16"/>
    </row>
    <row r="408" spans="1:1" x14ac:dyDescent="0.4">
      <c r="A408" s="16"/>
    </row>
    <row r="409" spans="1:1" x14ac:dyDescent="0.4">
      <c r="A409" s="16"/>
    </row>
    <row r="410" spans="1:1" x14ac:dyDescent="0.4">
      <c r="A410" s="16"/>
    </row>
    <row r="411" spans="1:1" x14ac:dyDescent="0.4">
      <c r="A411" s="16"/>
    </row>
    <row r="412" spans="1:1" x14ac:dyDescent="0.4">
      <c r="A412" s="16"/>
    </row>
    <row r="413" spans="1:1" x14ac:dyDescent="0.4">
      <c r="A413" s="16"/>
    </row>
    <row r="414" spans="1:1" x14ac:dyDescent="0.4">
      <c r="A414" s="16"/>
    </row>
    <row r="415" spans="1:1" x14ac:dyDescent="0.4">
      <c r="A415" s="16"/>
    </row>
    <row r="416" spans="1:1" x14ac:dyDescent="0.4">
      <c r="A416" s="16"/>
    </row>
    <row r="417" spans="1:1" x14ac:dyDescent="0.4">
      <c r="A417" s="16"/>
    </row>
    <row r="418" spans="1:1" x14ac:dyDescent="0.4">
      <c r="A418" s="16"/>
    </row>
    <row r="419" spans="1:1" x14ac:dyDescent="0.4">
      <c r="A419" s="16"/>
    </row>
    <row r="420" spans="1:1" x14ac:dyDescent="0.4">
      <c r="A420" s="16"/>
    </row>
    <row r="421" spans="1:1" x14ac:dyDescent="0.4">
      <c r="A421" s="16"/>
    </row>
    <row r="422" spans="1:1" x14ac:dyDescent="0.4">
      <c r="A422" s="16"/>
    </row>
    <row r="423" spans="1:1" x14ac:dyDescent="0.4">
      <c r="A423" s="16"/>
    </row>
    <row r="424" spans="1:1" x14ac:dyDescent="0.4">
      <c r="A424" s="16"/>
    </row>
    <row r="425" spans="1:1" x14ac:dyDescent="0.4">
      <c r="A425" s="16"/>
    </row>
    <row r="426" spans="1:1" x14ac:dyDescent="0.4">
      <c r="A426" s="16"/>
    </row>
    <row r="427" spans="1:1" x14ac:dyDescent="0.4">
      <c r="A427" s="16"/>
    </row>
    <row r="428" spans="1:1" x14ac:dyDescent="0.4">
      <c r="A428" s="16"/>
    </row>
    <row r="429" spans="1:1" x14ac:dyDescent="0.4">
      <c r="A429" s="16"/>
    </row>
    <row r="430" spans="1:1" x14ac:dyDescent="0.4">
      <c r="A430" s="16"/>
    </row>
    <row r="431" spans="1:1" x14ac:dyDescent="0.4">
      <c r="A431" s="16"/>
    </row>
    <row r="432" spans="1:1" x14ac:dyDescent="0.4">
      <c r="A432" s="16"/>
    </row>
    <row r="433" spans="1:1" x14ac:dyDescent="0.4">
      <c r="A433" s="16"/>
    </row>
    <row r="434" spans="1:1" x14ac:dyDescent="0.4">
      <c r="A434" s="16"/>
    </row>
    <row r="435" spans="1:1" x14ac:dyDescent="0.4">
      <c r="A435" s="16"/>
    </row>
    <row r="436" spans="1:1" x14ac:dyDescent="0.4">
      <c r="A436" s="16"/>
    </row>
    <row r="437" spans="1:1" x14ac:dyDescent="0.4">
      <c r="A437" s="16"/>
    </row>
    <row r="438" spans="1:1" x14ac:dyDescent="0.4">
      <c r="A438" s="16"/>
    </row>
    <row r="439" spans="1:1" x14ac:dyDescent="0.4">
      <c r="A439" s="16"/>
    </row>
    <row r="440" spans="1:1" x14ac:dyDescent="0.4">
      <c r="A440" s="16"/>
    </row>
    <row r="441" spans="1:1" x14ac:dyDescent="0.4">
      <c r="A441" s="16"/>
    </row>
    <row r="442" spans="1:1" x14ac:dyDescent="0.4">
      <c r="A442" s="16"/>
    </row>
    <row r="443" spans="1:1" x14ac:dyDescent="0.4">
      <c r="A443" s="16"/>
    </row>
    <row r="444" spans="1:1" x14ac:dyDescent="0.4">
      <c r="A444" s="16"/>
    </row>
    <row r="445" spans="1:1" x14ac:dyDescent="0.4">
      <c r="A445" s="16"/>
    </row>
    <row r="446" spans="1:1" x14ac:dyDescent="0.4">
      <c r="A446" s="16"/>
    </row>
    <row r="447" spans="1:1" x14ac:dyDescent="0.4">
      <c r="A447" s="16"/>
    </row>
    <row r="448" spans="1:1" x14ac:dyDescent="0.4">
      <c r="A448" s="16"/>
    </row>
    <row r="449" spans="1:1" x14ac:dyDescent="0.4">
      <c r="A449" s="16"/>
    </row>
    <row r="450" spans="1:1" x14ac:dyDescent="0.4">
      <c r="A450" s="16"/>
    </row>
    <row r="451" spans="1:1" x14ac:dyDescent="0.4">
      <c r="A451" s="16"/>
    </row>
    <row r="452" spans="1:1" x14ac:dyDescent="0.4">
      <c r="A452" s="16"/>
    </row>
    <row r="453" spans="1:1" x14ac:dyDescent="0.4">
      <c r="A453" s="16"/>
    </row>
    <row r="454" spans="1:1" x14ac:dyDescent="0.4">
      <c r="A454" s="16"/>
    </row>
    <row r="455" spans="1:1" x14ac:dyDescent="0.4">
      <c r="A455" s="16"/>
    </row>
    <row r="456" spans="1:1" x14ac:dyDescent="0.4">
      <c r="A456" s="16"/>
    </row>
    <row r="457" spans="1:1" x14ac:dyDescent="0.4">
      <c r="A457" s="16"/>
    </row>
    <row r="458" spans="1:1" x14ac:dyDescent="0.4">
      <c r="A458" s="16"/>
    </row>
    <row r="459" spans="1:1" x14ac:dyDescent="0.4">
      <c r="A459" s="16"/>
    </row>
    <row r="460" spans="1:1" x14ac:dyDescent="0.4">
      <c r="A460" s="16"/>
    </row>
    <row r="461" spans="1:1" x14ac:dyDescent="0.4">
      <c r="A461" s="16"/>
    </row>
    <row r="462" spans="1:1" x14ac:dyDescent="0.4">
      <c r="A462" s="16"/>
    </row>
    <row r="463" spans="1:1" x14ac:dyDescent="0.4">
      <c r="A463" s="16"/>
    </row>
    <row r="464" spans="1:1" x14ac:dyDescent="0.4">
      <c r="A464" s="16"/>
    </row>
    <row r="465" spans="1:1" x14ac:dyDescent="0.4">
      <c r="A465" s="16"/>
    </row>
    <row r="466" spans="1:1" x14ac:dyDescent="0.4">
      <c r="A466" s="16"/>
    </row>
    <row r="467" spans="1:1" x14ac:dyDescent="0.4">
      <c r="A467" s="16"/>
    </row>
    <row r="468" spans="1:1" x14ac:dyDescent="0.4">
      <c r="A468" s="16"/>
    </row>
    <row r="469" spans="1:1" x14ac:dyDescent="0.4">
      <c r="A469" s="16"/>
    </row>
    <row r="470" spans="1:1" x14ac:dyDescent="0.4">
      <c r="A470" s="16"/>
    </row>
    <row r="471" spans="1:1" x14ac:dyDescent="0.4">
      <c r="A471" s="16"/>
    </row>
    <row r="472" spans="1:1" x14ac:dyDescent="0.4">
      <c r="A472" s="16"/>
    </row>
    <row r="473" spans="1:1" x14ac:dyDescent="0.4">
      <c r="A473" s="16"/>
    </row>
    <row r="474" spans="1:1" x14ac:dyDescent="0.4">
      <c r="A474" s="16"/>
    </row>
    <row r="475" spans="1:1" x14ac:dyDescent="0.4">
      <c r="A475" s="16"/>
    </row>
    <row r="476" spans="1:1" x14ac:dyDescent="0.4">
      <c r="A476" s="16"/>
    </row>
    <row r="477" spans="1:1" x14ac:dyDescent="0.4">
      <c r="A477" s="16"/>
    </row>
    <row r="478" spans="1:1" x14ac:dyDescent="0.4">
      <c r="A478" s="16"/>
    </row>
    <row r="479" spans="1:1" x14ac:dyDescent="0.4">
      <c r="A479" s="16"/>
    </row>
    <row r="480" spans="1:1" x14ac:dyDescent="0.4">
      <c r="A480" s="16"/>
    </row>
    <row r="481" spans="1:1" x14ac:dyDescent="0.4">
      <c r="A481" s="16"/>
    </row>
    <row r="482" spans="1:1" x14ac:dyDescent="0.4">
      <c r="A482" s="16"/>
    </row>
    <row r="483" spans="1:1" x14ac:dyDescent="0.4">
      <c r="A483" s="16"/>
    </row>
    <row r="484" spans="1:1" x14ac:dyDescent="0.4">
      <c r="A484" s="16"/>
    </row>
    <row r="485" spans="1:1" x14ac:dyDescent="0.4">
      <c r="A485" s="16"/>
    </row>
    <row r="486" spans="1:1" x14ac:dyDescent="0.4">
      <c r="A486" s="16"/>
    </row>
    <row r="487" spans="1:1" x14ac:dyDescent="0.4">
      <c r="A487" s="16"/>
    </row>
    <row r="488" spans="1:1" x14ac:dyDescent="0.4">
      <c r="A488" s="16"/>
    </row>
    <row r="489" spans="1:1" x14ac:dyDescent="0.4">
      <c r="A489" s="16"/>
    </row>
    <row r="490" spans="1:1" x14ac:dyDescent="0.4">
      <c r="A490" s="16"/>
    </row>
    <row r="491" spans="1:1" x14ac:dyDescent="0.4">
      <c r="A491" s="16"/>
    </row>
    <row r="492" spans="1:1" x14ac:dyDescent="0.4">
      <c r="A492" s="16"/>
    </row>
    <row r="493" spans="1:1" x14ac:dyDescent="0.4">
      <c r="A493" s="16"/>
    </row>
    <row r="494" spans="1:1" x14ac:dyDescent="0.4">
      <c r="A494" s="16"/>
    </row>
    <row r="495" spans="1:1" x14ac:dyDescent="0.4">
      <c r="A495" s="16"/>
    </row>
    <row r="496" spans="1:1" x14ac:dyDescent="0.4">
      <c r="A496" s="16"/>
    </row>
    <row r="497" spans="1:1" x14ac:dyDescent="0.4">
      <c r="A497" s="16"/>
    </row>
    <row r="498" spans="1:1" x14ac:dyDescent="0.4">
      <c r="A498" s="16"/>
    </row>
    <row r="499" spans="1:1" x14ac:dyDescent="0.4">
      <c r="A499" s="16"/>
    </row>
    <row r="500" spans="1:1" x14ac:dyDescent="0.4">
      <c r="A500" s="16"/>
    </row>
    <row r="501" spans="1:1" x14ac:dyDescent="0.4">
      <c r="A501" s="16"/>
    </row>
    <row r="502" spans="1:1" x14ac:dyDescent="0.4">
      <c r="A502" s="16"/>
    </row>
    <row r="503" spans="1:1" x14ac:dyDescent="0.4">
      <c r="A503" s="16"/>
    </row>
    <row r="504" spans="1:1" x14ac:dyDescent="0.4">
      <c r="A504" s="16"/>
    </row>
    <row r="505" spans="1:1" x14ac:dyDescent="0.4">
      <c r="A505" s="16"/>
    </row>
    <row r="506" spans="1:1" x14ac:dyDescent="0.4">
      <c r="A506" s="16"/>
    </row>
    <row r="507" spans="1:1" x14ac:dyDescent="0.4">
      <c r="A507" s="16"/>
    </row>
    <row r="508" spans="1:1" x14ac:dyDescent="0.4">
      <c r="A508" s="16"/>
    </row>
    <row r="509" spans="1:1" x14ac:dyDescent="0.4">
      <c r="A509" s="16"/>
    </row>
    <row r="510" spans="1:1" x14ac:dyDescent="0.4">
      <c r="A510" s="16"/>
    </row>
    <row r="511" spans="1:1" x14ac:dyDescent="0.4">
      <c r="A511" s="16"/>
    </row>
    <row r="512" spans="1:1" x14ac:dyDescent="0.4">
      <c r="A512" s="16"/>
    </row>
    <row r="513" spans="1:1" x14ac:dyDescent="0.4">
      <c r="A513" s="16"/>
    </row>
    <row r="514" spans="1:1" x14ac:dyDescent="0.4">
      <c r="A514" s="16"/>
    </row>
    <row r="515" spans="1:1" x14ac:dyDescent="0.4">
      <c r="A515" s="16"/>
    </row>
    <row r="516" spans="1:1" x14ac:dyDescent="0.4">
      <c r="A516" s="16"/>
    </row>
    <row r="517" spans="1:1" x14ac:dyDescent="0.4">
      <c r="A517" s="16"/>
    </row>
    <row r="518" spans="1:1" x14ac:dyDescent="0.4">
      <c r="A518" s="16"/>
    </row>
    <row r="519" spans="1:1" x14ac:dyDescent="0.4">
      <c r="A519" s="16"/>
    </row>
    <row r="520" spans="1:1" x14ac:dyDescent="0.4">
      <c r="A520" s="16"/>
    </row>
    <row r="521" spans="1:1" x14ac:dyDescent="0.4">
      <c r="A521" s="16"/>
    </row>
    <row r="522" spans="1:1" x14ac:dyDescent="0.4">
      <c r="A522" s="16"/>
    </row>
    <row r="523" spans="1:1" x14ac:dyDescent="0.4">
      <c r="A523" s="16"/>
    </row>
    <row r="524" spans="1:1" x14ac:dyDescent="0.4">
      <c r="A524" s="16"/>
    </row>
    <row r="525" spans="1:1" x14ac:dyDescent="0.4">
      <c r="A525" s="16"/>
    </row>
    <row r="526" spans="1:1" x14ac:dyDescent="0.4">
      <c r="A526" s="16"/>
    </row>
    <row r="527" spans="1:1" x14ac:dyDescent="0.4">
      <c r="A527" s="16"/>
    </row>
    <row r="528" spans="1:1" x14ac:dyDescent="0.4">
      <c r="A528" s="16"/>
    </row>
    <row r="529" spans="1:1" x14ac:dyDescent="0.4">
      <c r="A529" s="16"/>
    </row>
    <row r="530" spans="1:1" x14ac:dyDescent="0.4">
      <c r="A530" s="16"/>
    </row>
    <row r="531" spans="1:1" x14ac:dyDescent="0.4">
      <c r="A531" s="16"/>
    </row>
    <row r="532" spans="1:1" x14ac:dyDescent="0.4">
      <c r="A532" s="16"/>
    </row>
    <row r="533" spans="1:1" x14ac:dyDescent="0.4">
      <c r="A533" s="16"/>
    </row>
    <row r="534" spans="1:1" x14ac:dyDescent="0.4">
      <c r="A534" s="16"/>
    </row>
    <row r="535" spans="1:1" x14ac:dyDescent="0.4">
      <c r="A535" s="16"/>
    </row>
    <row r="536" spans="1:1" x14ac:dyDescent="0.4">
      <c r="A536" s="16"/>
    </row>
    <row r="537" spans="1:1" x14ac:dyDescent="0.4">
      <c r="A537" s="16"/>
    </row>
    <row r="538" spans="1:1" x14ac:dyDescent="0.4">
      <c r="A538" s="16"/>
    </row>
    <row r="539" spans="1:1" x14ac:dyDescent="0.4">
      <c r="A539" s="16"/>
    </row>
    <row r="540" spans="1:1" x14ac:dyDescent="0.4">
      <c r="A540" s="16"/>
    </row>
    <row r="541" spans="1:1" x14ac:dyDescent="0.4">
      <c r="A541" s="16"/>
    </row>
    <row r="542" spans="1:1" x14ac:dyDescent="0.4">
      <c r="A542" s="16"/>
    </row>
    <row r="543" spans="1:1" x14ac:dyDescent="0.4">
      <c r="A543" s="16"/>
    </row>
    <row r="544" spans="1:1" x14ac:dyDescent="0.4">
      <c r="A544" s="16"/>
    </row>
    <row r="545" spans="1:1" x14ac:dyDescent="0.4">
      <c r="A545" s="16"/>
    </row>
    <row r="546" spans="1:1" x14ac:dyDescent="0.4">
      <c r="A546" s="16"/>
    </row>
    <row r="547" spans="1:1" x14ac:dyDescent="0.4">
      <c r="A547" s="16"/>
    </row>
    <row r="548" spans="1:1" x14ac:dyDescent="0.4">
      <c r="A548" s="16"/>
    </row>
    <row r="549" spans="1:1" x14ac:dyDescent="0.4">
      <c r="A549" s="16"/>
    </row>
    <row r="550" spans="1:1" x14ac:dyDescent="0.4">
      <c r="A550" s="16"/>
    </row>
    <row r="551" spans="1:1" x14ac:dyDescent="0.4">
      <c r="A551" s="16"/>
    </row>
    <row r="552" spans="1:1" x14ac:dyDescent="0.4">
      <c r="A552" s="16"/>
    </row>
    <row r="553" spans="1:1" x14ac:dyDescent="0.4">
      <c r="A553" s="16"/>
    </row>
    <row r="554" spans="1:1" x14ac:dyDescent="0.4">
      <c r="A554" s="16"/>
    </row>
    <row r="555" spans="1:1" x14ac:dyDescent="0.4">
      <c r="A555" s="16"/>
    </row>
    <row r="556" spans="1:1" x14ac:dyDescent="0.4">
      <c r="A556" s="16"/>
    </row>
    <row r="557" spans="1:1" x14ac:dyDescent="0.4">
      <c r="A557" s="16"/>
    </row>
    <row r="558" spans="1:1" x14ac:dyDescent="0.4">
      <c r="A558" s="16"/>
    </row>
    <row r="559" spans="1:1" x14ac:dyDescent="0.4">
      <c r="A559" s="16"/>
    </row>
    <row r="560" spans="1:1" x14ac:dyDescent="0.4">
      <c r="A560" s="16"/>
    </row>
    <row r="561" spans="1:1" x14ac:dyDescent="0.4">
      <c r="A561" s="16"/>
    </row>
    <row r="562" spans="1:1" x14ac:dyDescent="0.4">
      <c r="A562" s="16"/>
    </row>
    <row r="563" spans="1:1" x14ac:dyDescent="0.4">
      <c r="A563" s="16"/>
    </row>
    <row r="564" spans="1:1" x14ac:dyDescent="0.4">
      <c r="A564" s="16"/>
    </row>
    <row r="565" spans="1:1" x14ac:dyDescent="0.4">
      <c r="A565" s="16"/>
    </row>
    <row r="566" spans="1:1" x14ac:dyDescent="0.4">
      <c r="A566" s="16"/>
    </row>
    <row r="567" spans="1:1" x14ac:dyDescent="0.4">
      <c r="A567" s="16"/>
    </row>
    <row r="568" spans="1:1" x14ac:dyDescent="0.4">
      <c r="A568" s="16"/>
    </row>
    <row r="569" spans="1:1" x14ac:dyDescent="0.4">
      <c r="A569" s="16"/>
    </row>
    <row r="570" spans="1:1" x14ac:dyDescent="0.4">
      <c r="A570" s="16"/>
    </row>
    <row r="571" spans="1:1" x14ac:dyDescent="0.4">
      <c r="A571" s="16"/>
    </row>
    <row r="572" spans="1:1" x14ac:dyDescent="0.4">
      <c r="A572" s="16"/>
    </row>
    <row r="573" spans="1:1" x14ac:dyDescent="0.4">
      <c r="A573" s="16"/>
    </row>
    <row r="574" spans="1:1" x14ac:dyDescent="0.4">
      <c r="A574" s="16"/>
    </row>
    <row r="575" spans="1:1" x14ac:dyDescent="0.4">
      <c r="A575" s="16"/>
    </row>
    <row r="576" spans="1:1" x14ac:dyDescent="0.4">
      <c r="A576" s="16"/>
    </row>
    <row r="577" spans="1:1" x14ac:dyDescent="0.4">
      <c r="A577" s="16"/>
    </row>
    <row r="578" spans="1:1" x14ac:dyDescent="0.4">
      <c r="A578" s="16"/>
    </row>
    <row r="579" spans="1:1" x14ac:dyDescent="0.4">
      <c r="A579" s="16"/>
    </row>
    <row r="580" spans="1:1" x14ac:dyDescent="0.4">
      <c r="A580" s="16"/>
    </row>
    <row r="581" spans="1:1" x14ac:dyDescent="0.4">
      <c r="A581" s="16"/>
    </row>
    <row r="582" spans="1:1" x14ac:dyDescent="0.4">
      <c r="A582" s="16"/>
    </row>
    <row r="583" spans="1:1" x14ac:dyDescent="0.4">
      <c r="A583" s="16"/>
    </row>
    <row r="584" spans="1:1" x14ac:dyDescent="0.4">
      <c r="A584" s="16"/>
    </row>
    <row r="585" spans="1:1" x14ac:dyDescent="0.4">
      <c r="A585" s="16"/>
    </row>
    <row r="586" spans="1:1" x14ac:dyDescent="0.4">
      <c r="A586" s="16"/>
    </row>
    <row r="587" spans="1:1" x14ac:dyDescent="0.4">
      <c r="A587" s="16"/>
    </row>
    <row r="588" spans="1:1" x14ac:dyDescent="0.4">
      <c r="A588" s="16"/>
    </row>
    <row r="589" spans="1:1" x14ac:dyDescent="0.4">
      <c r="A589" s="16"/>
    </row>
    <row r="590" spans="1:1" x14ac:dyDescent="0.4">
      <c r="A590" s="16"/>
    </row>
    <row r="591" spans="1:1" x14ac:dyDescent="0.4">
      <c r="A591" s="16"/>
    </row>
    <row r="592" spans="1:1" x14ac:dyDescent="0.4">
      <c r="A592" s="16"/>
    </row>
    <row r="593" spans="1:1" x14ac:dyDescent="0.4">
      <c r="A593" s="16"/>
    </row>
    <row r="594" spans="1:1" x14ac:dyDescent="0.4">
      <c r="A594" s="16"/>
    </row>
    <row r="595" spans="1:1" x14ac:dyDescent="0.4">
      <c r="A595" s="16"/>
    </row>
    <row r="596" spans="1:1" x14ac:dyDescent="0.4">
      <c r="A596" s="16"/>
    </row>
    <row r="597" spans="1:1" x14ac:dyDescent="0.4">
      <c r="A597" s="16"/>
    </row>
    <row r="598" spans="1:1" x14ac:dyDescent="0.4">
      <c r="A598" s="16"/>
    </row>
    <row r="599" spans="1:1" x14ac:dyDescent="0.4">
      <c r="A599" s="16"/>
    </row>
    <row r="600" spans="1:1" x14ac:dyDescent="0.4">
      <c r="A600" s="16"/>
    </row>
    <row r="601" spans="1:1" x14ac:dyDescent="0.4">
      <c r="A601" s="16"/>
    </row>
    <row r="602" spans="1:1" x14ac:dyDescent="0.4">
      <c r="A602" s="16"/>
    </row>
    <row r="603" spans="1:1" x14ac:dyDescent="0.4">
      <c r="A603" s="16"/>
    </row>
    <row r="604" spans="1:1" x14ac:dyDescent="0.4">
      <c r="A604" s="16"/>
    </row>
    <row r="605" spans="1:1" x14ac:dyDescent="0.4">
      <c r="A605" s="16"/>
    </row>
    <row r="606" spans="1:1" x14ac:dyDescent="0.4">
      <c r="A606" s="16"/>
    </row>
    <row r="607" spans="1:1" x14ac:dyDescent="0.4">
      <c r="A607" s="16"/>
    </row>
    <row r="608" spans="1:1" x14ac:dyDescent="0.4">
      <c r="A608" s="16"/>
    </row>
    <row r="609" spans="1:1" x14ac:dyDescent="0.4">
      <c r="A609" s="16"/>
    </row>
    <row r="610" spans="1:1" x14ac:dyDescent="0.4">
      <c r="A610" s="16"/>
    </row>
    <row r="611" spans="1:1" x14ac:dyDescent="0.4">
      <c r="A611" s="16"/>
    </row>
    <row r="612" spans="1:1" x14ac:dyDescent="0.4">
      <c r="A612" s="16"/>
    </row>
    <row r="613" spans="1:1" x14ac:dyDescent="0.4">
      <c r="A613" s="16"/>
    </row>
    <row r="614" spans="1:1" x14ac:dyDescent="0.4">
      <c r="A614" s="16"/>
    </row>
    <row r="615" spans="1:1" x14ac:dyDescent="0.4">
      <c r="A615" s="16"/>
    </row>
    <row r="616" spans="1:1" x14ac:dyDescent="0.4">
      <c r="A616" s="16"/>
    </row>
    <row r="617" spans="1:1" x14ac:dyDescent="0.4">
      <c r="A617" s="16"/>
    </row>
    <row r="618" spans="1:1" x14ac:dyDescent="0.4">
      <c r="A618" s="16"/>
    </row>
    <row r="619" spans="1:1" x14ac:dyDescent="0.4">
      <c r="A619" s="16"/>
    </row>
    <row r="620" spans="1:1" x14ac:dyDescent="0.4">
      <c r="A620" s="16"/>
    </row>
    <row r="621" spans="1:1" x14ac:dyDescent="0.4">
      <c r="A621" s="16"/>
    </row>
    <row r="622" spans="1:1" x14ac:dyDescent="0.4">
      <c r="A622" s="16"/>
    </row>
    <row r="623" spans="1:1" x14ac:dyDescent="0.4">
      <c r="A623" s="16"/>
    </row>
    <row r="624" spans="1:1" x14ac:dyDescent="0.4">
      <c r="A624" s="16"/>
    </row>
    <row r="625" spans="1:1" x14ac:dyDescent="0.4">
      <c r="A625" s="16"/>
    </row>
    <row r="626" spans="1:1" x14ac:dyDescent="0.4">
      <c r="A626" s="16"/>
    </row>
    <row r="627" spans="1:1" x14ac:dyDescent="0.4">
      <c r="A627" s="16"/>
    </row>
    <row r="628" spans="1:1" x14ac:dyDescent="0.4">
      <c r="A628" s="16"/>
    </row>
    <row r="629" spans="1:1" x14ac:dyDescent="0.4">
      <c r="A629" s="16"/>
    </row>
    <row r="630" spans="1:1" x14ac:dyDescent="0.4">
      <c r="A630" s="16"/>
    </row>
    <row r="631" spans="1:1" x14ac:dyDescent="0.4">
      <c r="A631" s="16"/>
    </row>
    <row r="632" spans="1:1" x14ac:dyDescent="0.4">
      <c r="A632" s="16"/>
    </row>
    <row r="633" spans="1:1" x14ac:dyDescent="0.4">
      <c r="A633" s="16"/>
    </row>
    <row r="634" spans="1:1" x14ac:dyDescent="0.4">
      <c r="A634" s="16"/>
    </row>
    <row r="635" spans="1:1" x14ac:dyDescent="0.4">
      <c r="A635" s="16"/>
    </row>
    <row r="636" spans="1:1" x14ac:dyDescent="0.4">
      <c r="A636" s="16"/>
    </row>
    <row r="637" spans="1:1" x14ac:dyDescent="0.4">
      <c r="A637" s="16"/>
    </row>
    <row r="638" spans="1:1" x14ac:dyDescent="0.4">
      <c r="A638" s="16"/>
    </row>
    <row r="639" spans="1:1" x14ac:dyDescent="0.4">
      <c r="A639" s="16"/>
    </row>
    <row r="640" spans="1:1" x14ac:dyDescent="0.4">
      <c r="A640" s="16"/>
    </row>
    <row r="641" spans="1:1" x14ac:dyDescent="0.4">
      <c r="A641" s="16"/>
    </row>
    <row r="642" spans="1:1" x14ac:dyDescent="0.4">
      <c r="A642" s="16"/>
    </row>
    <row r="643" spans="1:1" x14ac:dyDescent="0.4">
      <c r="A643" s="16"/>
    </row>
    <row r="644" spans="1:1" x14ac:dyDescent="0.4">
      <c r="A644" s="16"/>
    </row>
    <row r="645" spans="1:1" x14ac:dyDescent="0.4">
      <c r="A645" s="16"/>
    </row>
    <row r="646" spans="1:1" x14ac:dyDescent="0.4">
      <c r="A646" s="16"/>
    </row>
    <row r="647" spans="1:1" x14ac:dyDescent="0.4">
      <c r="A647" s="16"/>
    </row>
    <row r="648" spans="1:1" x14ac:dyDescent="0.4">
      <c r="A648" s="16"/>
    </row>
    <row r="649" spans="1:1" x14ac:dyDescent="0.4">
      <c r="A649" s="16"/>
    </row>
    <row r="650" spans="1:1" x14ac:dyDescent="0.4">
      <c r="A650" s="16"/>
    </row>
    <row r="651" spans="1:1" x14ac:dyDescent="0.4">
      <c r="A651" s="16"/>
    </row>
    <row r="652" spans="1:1" x14ac:dyDescent="0.4">
      <c r="A652" s="16"/>
    </row>
    <row r="653" spans="1:1" x14ac:dyDescent="0.4">
      <c r="A653" s="16"/>
    </row>
    <row r="654" spans="1:1" x14ac:dyDescent="0.4">
      <c r="A654" s="16"/>
    </row>
    <row r="655" spans="1:1" x14ac:dyDescent="0.4">
      <c r="A655" s="16"/>
    </row>
    <row r="656" spans="1:1" x14ac:dyDescent="0.4">
      <c r="A656" s="16"/>
    </row>
    <row r="657" spans="1:1" x14ac:dyDescent="0.4">
      <c r="A657" s="16"/>
    </row>
    <row r="658" spans="1:1" x14ac:dyDescent="0.4">
      <c r="A658" s="16"/>
    </row>
    <row r="659" spans="1:1" x14ac:dyDescent="0.4">
      <c r="A659" s="16"/>
    </row>
    <row r="660" spans="1:1" x14ac:dyDescent="0.4">
      <c r="A660" s="16"/>
    </row>
    <row r="661" spans="1:1" x14ac:dyDescent="0.4">
      <c r="A661" s="16"/>
    </row>
    <row r="662" spans="1:1" x14ac:dyDescent="0.4">
      <c r="A662" s="16"/>
    </row>
    <row r="663" spans="1:1" x14ac:dyDescent="0.4">
      <c r="A663" s="16"/>
    </row>
    <row r="664" spans="1:1" x14ac:dyDescent="0.4">
      <c r="A664" s="16"/>
    </row>
    <row r="665" spans="1:1" x14ac:dyDescent="0.4">
      <c r="A665" s="16"/>
    </row>
    <row r="666" spans="1:1" x14ac:dyDescent="0.4">
      <c r="A666" s="16"/>
    </row>
    <row r="667" spans="1:1" x14ac:dyDescent="0.4">
      <c r="A667" s="16"/>
    </row>
    <row r="668" spans="1:1" x14ac:dyDescent="0.4">
      <c r="A668" s="16"/>
    </row>
    <row r="669" spans="1:1" x14ac:dyDescent="0.4">
      <c r="A669" s="16"/>
    </row>
    <row r="670" spans="1:1" x14ac:dyDescent="0.4">
      <c r="A670" s="16"/>
    </row>
    <row r="671" spans="1:1" x14ac:dyDescent="0.4">
      <c r="A671" s="16"/>
    </row>
    <row r="672" spans="1:1" x14ac:dyDescent="0.4">
      <c r="A672" s="16"/>
    </row>
    <row r="673" spans="1:1" x14ac:dyDescent="0.4">
      <c r="A673" s="16"/>
    </row>
    <row r="674" spans="1:1" x14ac:dyDescent="0.4">
      <c r="A674" s="16"/>
    </row>
    <row r="675" spans="1:1" x14ac:dyDescent="0.4">
      <c r="A675" s="16"/>
    </row>
    <row r="676" spans="1:1" x14ac:dyDescent="0.4">
      <c r="A676" s="16"/>
    </row>
    <row r="677" spans="1:1" x14ac:dyDescent="0.4">
      <c r="A677" s="16"/>
    </row>
    <row r="678" spans="1:1" x14ac:dyDescent="0.4">
      <c r="A678" s="16"/>
    </row>
    <row r="679" spans="1:1" x14ac:dyDescent="0.4">
      <c r="A679" s="16"/>
    </row>
    <row r="680" spans="1:1" x14ac:dyDescent="0.4">
      <c r="A680" s="16"/>
    </row>
    <row r="681" spans="1:1" x14ac:dyDescent="0.4">
      <c r="A681" s="16"/>
    </row>
    <row r="682" spans="1:1" x14ac:dyDescent="0.4">
      <c r="A682" s="16"/>
    </row>
    <row r="683" spans="1:1" x14ac:dyDescent="0.4">
      <c r="A683" s="16"/>
    </row>
    <row r="684" spans="1:1" x14ac:dyDescent="0.4">
      <c r="A684" s="16"/>
    </row>
    <row r="685" spans="1:1" x14ac:dyDescent="0.4">
      <c r="A685" s="16"/>
    </row>
    <row r="686" spans="1:1" x14ac:dyDescent="0.4">
      <c r="A686" s="16"/>
    </row>
    <row r="687" spans="1:1" x14ac:dyDescent="0.4">
      <c r="A687" s="16"/>
    </row>
    <row r="688" spans="1:1" x14ac:dyDescent="0.4">
      <c r="A688" s="16"/>
    </row>
    <row r="689" spans="1:1" x14ac:dyDescent="0.4">
      <c r="A689" s="16"/>
    </row>
    <row r="690" spans="1:1" x14ac:dyDescent="0.4">
      <c r="A690" s="16"/>
    </row>
    <row r="691" spans="1:1" x14ac:dyDescent="0.4">
      <c r="A691" s="16"/>
    </row>
    <row r="692" spans="1:1" x14ac:dyDescent="0.4">
      <c r="A692" s="16"/>
    </row>
    <row r="693" spans="1:1" x14ac:dyDescent="0.4">
      <c r="A693" s="16"/>
    </row>
    <row r="694" spans="1:1" x14ac:dyDescent="0.4">
      <c r="A694" s="16"/>
    </row>
    <row r="695" spans="1:1" x14ac:dyDescent="0.4">
      <c r="A695" s="16"/>
    </row>
    <row r="696" spans="1:1" x14ac:dyDescent="0.4">
      <c r="A696" s="16"/>
    </row>
    <row r="697" spans="1:1" x14ac:dyDescent="0.4">
      <c r="A697" s="16"/>
    </row>
    <row r="698" spans="1:1" x14ac:dyDescent="0.4">
      <c r="A698" s="16"/>
    </row>
    <row r="699" spans="1:1" x14ac:dyDescent="0.4">
      <c r="A699" s="16"/>
    </row>
    <row r="700" spans="1:1" x14ac:dyDescent="0.4">
      <c r="A700" s="16"/>
    </row>
    <row r="701" spans="1:1" x14ac:dyDescent="0.4">
      <c r="A701" s="16"/>
    </row>
    <row r="702" spans="1:1" x14ac:dyDescent="0.4">
      <c r="A702" s="16"/>
    </row>
    <row r="703" spans="1:1" x14ac:dyDescent="0.4">
      <c r="A703" s="16"/>
    </row>
    <row r="704" spans="1:1" x14ac:dyDescent="0.4">
      <c r="A704" s="16"/>
    </row>
    <row r="705" spans="1:1" x14ac:dyDescent="0.4">
      <c r="A705" s="16"/>
    </row>
    <row r="706" spans="1:1" x14ac:dyDescent="0.4">
      <c r="A706" s="16"/>
    </row>
    <row r="707" spans="1:1" x14ac:dyDescent="0.4">
      <c r="A707" s="16"/>
    </row>
    <row r="708" spans="1:1" x14ac:dyDescent="0.4">
      <c r="A708" s="16"/>
    </row>
    <row r="709" spans="1:1" x14ac:dyDescent="0.4">
      <c r="A709" s="16"/>
    </row>
    <row r="710" spans="1:1" x14ac:dyDescent="0.4">
      <c r="A710" s="16"/>
    </row>
    <row r="711" spans="1:1" x14ac:dyDescent="0.4">
      <c r="A711" s="16"/>
    </row>
    <row r="712" spans="1:1" x14ac:dyDescent="0.4">
      <c r="A712" s="16"/>
    </row>
    <row r="713" spans="1:1" x14ac:dyDescent="0.4">
      <c r="A713" s="16"/>
    </row>
    <row r="714" spans="1:1" x14ac:dyDescent="0.4">
      <c r="A714" s="16"/>
    </row>
    <row r="715" spans="1:1" x14ac:dyDescent="0.4">
      <c r="A715" s="16"/>
    </row>
    <row r="716" spans="1:1" x14ac:dyDescent="0.4">
      <c r="A716" s="16"/>
    </row>
    <row r="717" spans="1:1" x14ac:dyDescent="0.4">
      <c r="A717" s="16"/>
    </row>
    <row r="718" spans="1:1" x14ac:dyDescent="0.4">
      <c r="A718" s="16"/>
    </row>
    <row r="719" spans="1:1" x14ac:dyDescent="0.4">
      <c r="A719" s="16"/>
    </row>
    <row r="720" spans="1:1" x14ac:dyDescent="0.4">
      <c r="A720" s="16"/>
    </row>
    <row r="721" spans="1:1" x14ac:dyDescent="0.4">
      <c r="A721" s="16"/>
    </row>
    <row r="722" spans="1:1" x14ac:dyDescent="0.4">
      <c r="A722" s="16"/>
    </row>
    <row r="723" spans="1:1" x14ac:dyDescent="0.4">
      <c r="A723" s="16"/>
    </row>
    <row r="724" spans="1:1" x14ac:dyDescent="0.4">
      <c r="A724" s="16"/>
    </row>
    <row r="725" spans="1:1" x14ac:dyDescent="0.4">
      <c r="A725" s="16"/>
    </row>
    <row r="726" spans="1:1" x14ac:dyDescent="0.4">
      <c r="A726" s="16"/>
    </row>
    <row r="727" spans="1:1" x14ac:dyDescent="0.4">
      <c r="A727" s="16"/>
    </row>
    <row r="728" spans="1:1" x14ac:dyDescent="0.4">
      <c r="A728" s="16"/>
    </row>
    <row r="729" spans="1:1" x14ac:dyDescent="0.4">
      <c r="A729" s="16"/>
    </row>
    <row r="730" spans="1:1" x14ac:dyDescent="0.4">
      <c r="A730" s="16"/>
    </row>
    <row r="731" spans="1:1" x14ac:dyDescent="0.4">
      <c r="A731" s="16"/>
    </row>
    <row r="732" spans="1:1" x14ac:dyDescent="0.4">
      <c r="A732" s="16"/>
    </row>
    <row r="733" spans="1:1" x14ac:dyDescent="0.4">
      <c r="A733" s="16"/>
    </row>
    <row r="734" spans="1:1" x14ac:dyDescent="0.4">
      <c r="A734" s="16"/>
    </row>
    <row r="735" spans="1:1" x14ac:dyDescent="0.4">
      <c r="A735" s="16"/>
    </row>
    <row r="736" spans="1:1" x14ac:dyDescent="0.4">
      <c r="A736" s="16"/>
    </row>
    <row r="737" spans="1:1" x14ac:dyDescent="0.4">
      <c r="A737" s="16"/>
    </row>
    <row r="738" spans="1:1" x14ac:dyDescent="0.4">
      <c r="A738" s="16"/>
    </row>
    <row r="739" spans="1:1" x14ac:dyDescent="0.4">
      <c r="A739" s="16"/>
    </row>
    <row r="740" spans="1:1" x14ac:dyDescent="0.4">
      <c r="A740" s="16"/>
    </row>
    <row r="741" spans="1:1" x14ac:dyDescent="0.4">
      <c r="A741" s="16"/>
    </row>
    <row r="742" spans="1:1" x14ac:dyDescent="0.4">
      <c r="A742" s="16"/>
    </row>
    <row r="743" spans="1:1" x14ac:dyDescent="0.4">
      <c r="A743" s="16"/>
    </row>
    <row r="744" spans="1:1" x14ac:dyDescent="0.4">
      <c r="A744" s="16"/>
    </row>
    <row r="745" spans="1:1" x14ac:dyDescent="0.4">
      <c r="A745" s="16"/>
    </row>
    <row r="746" spans="1:1" x14ac:dyDescent="0.4">
      <c r="A746" s="16"/>
    </row>
    <row r="747" spans="1:1" x14ac:dyDescent="0.4">
      <c r="A747" s="16"/>
    </row>
    <row r="748" spans="1:1" x14ac:dyDescent="0.4">
      <c r="A748" s="16"/>
    </row>
    <row r="749" spans="1:1" x14ac:dyDescent="0.4">
      <c r="A749" s="16"/>
    </row>
    <row r="750" spans="1:1" x14ac:dyDescent="0.4">
      <c r="A750" s="16"/>
    </row>
    <row r="751" spans="1:1" x14ac:dyDescent="0.4">
      <c r="A751" s="16"/>
    </row>
    <row r="752" spans="1:1" x14ac:dyDescent="0.4">
      <c r="A752" s="16"/>
    </row>
    <row r="753" spans="1:1" x14ac:dyDescent="0.4">
      <c r="A753" s="16"/>
    </row>
    <row r="754" spans="1:1" x14ac:dyDescent="0.4">
      <c r="A754" s="16"/>
    </row>
    <row r="755" spans="1:1" x14ac:dyDescent="0.4">
      <c r="A755" s="16"/>
    </row>
    <row r="756" spans="1:1" x14ac:dyDescent="0.4">
      <c r="A756" s="16"/>
    </row>
    <row r="757" spans="1:1" x14ac:dyDescent="0.4">
      <c r="A757" s="16"/>
    </row>
    <row r="758" spans="1:1" x14ac:dyDescent="0.4">
      <c r="A758" s="16"/>
    </row>
    <row r="759" spans="1:1" x14ac:dyDescent="0.4">
      <c r="A759" s="16"/>
    </row>
    <row r="760" spans="1:1" x14ac:dyDescent="0.4">
      <c r="A760" s="16"/>
    </row>
    <row r="761" spans="1:1" x14ac:dyDescent="0.4">
      <c r="A761" s="16"/>
    </row>
    <row r="762" spans="1:1" x14ac:dyDescent="0.4">
      <c r="A762" s="16"/>
    </row>
    <row r="763" spans="1:1" x14ac:dyDescent="0.4">
      <c r="A763" s="16"/>
    </row>
    <row r="764" spans="1:1" x14ac:dyDescent="0.4">
      <c r="A764" s="16"/>
    </row>
    <row r="765" spans="1:1" x14ac:dyDescent="0.4">
      <c r="A765" s="16"/>
    </row>
    <row r="766" spans="1:1" x14ac:dyDescent="0.4">
      <c r="A766" s="16"/>
    </row>
    <row r="767" spans="1:1" x14ac:dyDescent="0.4">
      <c r="A767" s="16"/>
    </row>
    <row r="768" spans="1:1" x14ac:dyDescent="0.4">
      <c r="A768" s="16"/>
    </row>
    <row r="769" spans="1:1" x14ac:dyDescent="0.4">
      <c r="A769" s="16"/>
    </row>
    <row r="770" spans="1:1" x14ac:dyDescent="0.4">
      <c r="A770" s="16"/>
    </row>
    <row r="771" spans="1:1" x14ac:dyDescent="0.4">
      <c r="A771" s="16"/>
    </row>
    <row r="772" spans="1:1" x14ac:dyDescent="0.4">
      <c r="A772" s="16"/>
    </row>
    <row r="773" spans="1:1" x14ac:dyDescent="0.4">
      <c r="A773" s="16"/>
    </row>
    <row r="774" spans="1:1" x14ac:dyDescent="0.4">
      <c r="A774" s="16"/>
    </row>
    <row r="775" spans="1:1" x14ac:dyDescent="0.4">
      <c r="A775" s="16"/>
    </row>
    <row r="776" spans="1:1" x14ac:dyDescent="0.4">
      <c r="A776" s="16"/>
    </row>
    <row r="777" spans="1:1" x14ac:dyDescent="0.4">
      <c r="A777" s="16"/>
    </row>
    <row r="778" spans="1:1" x14ac:dyDescent="0.4">
      <c r="A778" s="16"/>
    </row>
    <row r="779" spans="1:1" x14ac:dyDescent="0.4">
      <c r="A779" s="16"/>
    </row>
    <row r="780" spans="1:1" x14ac:dyDescent="0.4">
      <c r="A780" s="16"/>
    </row>
    <row r="781" spans="1:1" x14ac:dyDescent="0.4">
      <c r="A781" s="16"/>
    </row>
    <row r="782" spans="1:1" x14ac:dyDescent="0.4">
      <c r="A782" s="16"/>
    </row>
    <row r="783" spans="1:1" x14ac:dyDescent="0.4">
      <c r="A783" s="16"/>
    </row>
    <row r="784" spans="1:1" x14ac:dyDescent="0.4">
      <c r="A784" s="16"/>
    </row>
    <row r="785" spans="1:1" x14ac:dyDescent="0.4">
      <c r="A785" s="16"/>
    </row>
    <row r="786" spans="1:1" x14ac:dyDescent="0.4">
      <c r="A786" s="16"/>
    </row>
    <row r="787" spans="1:1" x14ac:dyDescent="0.4">
      <c r="A787" s="16"/>
    </row>
    <row r="788" spans="1:1" x14ac:dyDescent="0.4">
      <c r="A788" s="16"/>
    </row>
    <row r="789" spans="1:1" x14ac:dyDescent="0.4">
      <c r="A789" s="16"/>
    </row>
    <row r="790" spans="1:1" x14ac:dyDescent="0.4">
      <c r="A790" s="16"/>
    </row>
    <row r="791" spans="1:1" x14ac:dyDescent="0.4">
      <c r="A791" s="16"/>
    </row>
    <row r="792" spans="1:1" x14ac:dyDescent="0.4">
      <c r="A792" s="16"/>
    </row>
    <row r="793" spans="1:1" x14ac:dyDescent="0.4">
      <c r="A793" s="16"/>
    </row>
    <row r="794" spans="1:1" x14ac:dyDescent="0.4">
      <c r="A794" s="16"/>
    </row>
    <row r="795" spans="1:1" x14ac:dyDescent="0.4">
      <c r="A795" s="16"/>
    </row>
    <row r="796" spans="1:1" x14ac:dyDescent="0.4">
      <c r="A796" s="16"/>
    </row>
    <row r="797" spans="1:1" x14ac:dyDescent="0.4">
      <c r="A797" s="16"/>
    </row>
    <row r="798" spans="1:1" x14ac:dyDescent="0.4">
      <c r="A798" s="16"/>
    </row>
    <row r="799" spans="1:1" x14ac:dyDescent="0.4">
      <c r="A799" s="16"/>
    </row>
    <row r="800" spans="1:1" x14ac:dyDescent="0.4">
      <c r="A800" s="16"/>
    </row>
    <row r="801" spans="1:1" x14ac:dyDescent="0.4">
      <c r="A801" s="16"/>
    </row>
    <row r="802" spans="1:1" x14ac:dyDescent="0.4">
      <c r="A802" s="16"/>
    </row>
    <row r="803" spans="1:1" x14ac:dyDescent="0.4">
      <c r="A803" s="16"/>
    </row>
    <row r="804" spans="1:1" x14ac:dyDescent="0.4">
      <c r="A804" s="16"/>
    </row>
    <row r="805" spans="1:1" x14ac:dyDescent="0.4">
      <c r="A805" s="16"/>
    </row>
    <row r="806" spans="1:1" x14ac:dyDescent="0.4">
      <c r="A806" s="16"/>
    </row>
    <row r="807" spans="1:1" x14ac:dyDescent="0.4">
      <c r="A807" s="16"/>
    </row>
    <row r="808" spans="1:1" x14ac:dyDescent="0.4">
      <c r="A808" s="16"/>
    </row>
    <row r="809" spans="1:1" x14ac:dyDescent="0.4">
      <c r="A809" s="16"/>
    </row>
    <row r="810" spans="1:1" x14ac:dyDescent="0.4">
      <c r="A810" s="16"/>
    </row>
    <row r="811" spans="1:1" x14ac:dyDescent="0.4">
      <c r="A811" s="16"/>
    </row>
    <row r="812" spans="1:1" x14ac:dyDescent="0.4">
      <c r="A812" s="16"/>
    </row>
    <row r="813" spans="1:1" x14ac:dyDescent="0.4">
      <c r="A813" s="16"/>
    </row>
    <row r="814" spans="1:1" x14ac:dyDescent="0.4">
      <c r="A814" s="16"/>
    </row>
    <row r="815" spans="1:1" x14ac:dyDescent="0.4">
      <c r="A815" s="16"/>
    </row>
    <row r="816" spans="1:1" x14ac:dyDescent="0.4">
      <c r="A816" s="16"/>
    </row>
    <row r="817" spans="1:1" x14ac:dyDescent="0.4">
      <c r="A817" s="16"/>
    </row>
    <row r="818" spans="1:1" x14ac:dyDescent="0.4">
      <c r="A818" s="16"/>
    </row>
    <row r="819" spans="1:1" x14ac:dyDescent="0.4">
      <c r="A819" s="16"/>
    </row>
    <row r="820" spans="1:1" x14ac:dyDescent="0.4">
      <c r="A820" s="16"/>
    </row>
    <row r="821" spans="1:1" x14ac:dyDescent="0.4">
      <c r="A821" s="16"/>
    </row>
    <row r="822" spans="1:1" x14ac:dyDescent="0.4">
      <c r="A822" s="16"/>
    </row>
    <row r="823" spans="1:1" x14ac:dyDescent="0.4">
      <c r="A823" s="16"/>
    </row>
    <row r="824" spans="1:1" x14ac:dyDescent="0.4">
      <c r="A824" s="16"/>
    </row>
    <row r="825" spans="1:1" x14ac:dyDescent="0.4">
      <c r="A825" s="16"/>
    </row>
    <row r="826" spans="1:1" x14ac:dyDescent="0.4">
      <c r="A826" s="16"/>
    </row>
    <row r="827" spans="1:1" x14ac:dyDescent="0.4">
      <c r="A827" s="16"/>
    </row>
    <row r="828" spans="1:1" x14ac:dyDescent="0.4">
      <c r="A828" s="16"/>
    </row>
    <row r="829" spans="1:1" x14ac:dyDescent="0.4">
      <c r="A829" s="16"/>
    </row>
    <row r="830" spans="1:1" x14ac:dyDescent="0.4">
      <c r="A830" s="16"/>
    </row>
    <row r="831" spans="1:1" x14ac:dyDescent="0.4">
      <c r="A831" s="16"/>
    </row>
    <row r="832" spans="1:1" x14ac:dyDescent="0.4">
      <c r="A832" s="16"/>
    </row>
    <row r="833" spans="1:1" x14ac:dyDescent="0.4">
      <c r="A833" s="16"/>
    </row>
    <row r="834" spans="1:1" x14ac:dyDescent="0.4">
      <c r="A834" s="16"/>
    </row>
    <row r="835" spans="1:1" x14ac:dyDescent="0.4">
      <c r="A835" s="16"/>
    </row>
    <row r="836" spans="1:1" x14ac:dyDescent="0.4">
      <c r="A836" s="16"/>
    </row>
    <row r="837" spans="1:1" x14ac:dyDescent="0.4">
      <c r="A837" s="16"/>
    </row>
    <row r="838" spans="1:1" x14ac:dyDescent="0.4">
      <c r="A838" s="16"/>
    </row>
    <row r="839" spans="1:1" x14ac:dyDescent="0.4">
      <c r="A839" s="16"/>
    </row>
    <row r="840" spans="1:1" x14ac:dyDescent="0.4">
      <c r="A840" s="16"/>
    </row>
    <row r="841" spans="1:1" x14ac:dyDescent="0.4">
      <c r="A841" s="16"/>
    </row>
    <row r="842" spans="1:1" x14ac:dyDescent="0.4">
      <c r="A842" s="16"/>
    </row>
    <row r="843" spans="1:1" x14ac:dyDescent="0.4">
      <c r="A843" s="16"/>
    </row>
    <row r="844" spans="1:1" x14ac:dyDescent="0.4">
      <c r="A844" s="16"/>
    </row>
    <row r="845" spans="1:1" x14ac:dyDescent="0.4">
      <c r="A845" s="16"/>
    </row>
    <row r="846" spans="1:1" x14ac:dyDescent="0.4">
      <c r="A846" s="16"/>
    </row>
    <row r="847" spans="1:1" x14ac:dyDescent="0.4">
      <c r="A847" s="16"/>
    </row>
    <row r="848" spans="1:1" x14ac:dyDescent="0.4">
      <c r="A848" s="16"/>
    </row>
    <row r="849" spans="1:1" x14ac:dyDescent="0.4">
      <c r="A849" s="16"/>
    </row>
    <row r="850" spans="1:1" x14ac:dyDescent="0.4">
      <c r="A850" s="16"/>
    </row>
    <row r="851" spans="1:1" x14ac:dyDescent="0.4">
      <c r="A851" s="16"/>
    </row>
    <row r="852" spans="1:1" x14ac:dyDescent="0.4">
      <c r="A852" s="16"/>
    </row>
    <row r="853" spans="1:1" x14ac:dyDescent="0.4">
      <c r="A853" s="16"/>
    </row>
    <row r="854" spans="1:1" x14ac:dyDescent="0.4">
      <c r="A854" s="16"/>
    </row>
    <row r="855" spans="1:1" x14ac:dyDescent="0.4">
      <c r="A855" s="16"/>
    </row>
    <row r="856" spans="1:1" x14ac:dyDescent="0.4">
      <c r="A856" s="16"/>
    </row>
    <row r="857" spans="1:1" x14ac:dyDescent="0.4">
      <c r="A857" s="16"/>
    </row>
    <row r="858" spans="1:1" x14ac:dyDescent="0.4">
      <c r="A858" s="16"/>
    </row>
    <row r="859" spans="1:1" x14ac:dyDescent="0.4">
      <c r="A859" s="16"/>
    </row>
    <row r="860" spans="1:1" x14ac:dyDescent="0.4">
      <c r="A860" s="16"/>
    </row>
    <row r="861" spans="1:1" x14ac:dyDescent="0.4">
      <c r="A861" s="16"/>
    </row>
    <row r="862" spans="1:1" x14ac:dyDescent="0.4">
      <c r="A862" s="16"/>
    </row>
    <row r="863" spans="1:1" x14ac:dyDescent="0.4">
      <c r="A863" s="16"/>
    </row>
    <row r="864" spans="1:1" x14ac:dyDescent="0.4">
      <c r="A864" s="16"/>
    </row>
    <row r="865" spans="1:1" x14ac:dyDescent="0.4">
      <c r="A865" s="16"/>
    </row>
    <row r="866" spans="1:1" x14ac:dyDescent="0.4">
      <c r="A866" s="16"/>
    </row>
    <row r="867" spans="1:1" x14ac:dyDescent="0.4">
      <c r="A867" s="16"/>
    </row>
    <row r="868" spans="1:1" x14ac:dyDescent="0.4">
      <c r="A868" s="16"/>
    </row>
    <row r="869" spans="1:1" x14ac:dyDescent="0.4">
      <c r="A869" s="16"/>
    </row>
    <row r="870" spans="1:1" x14ac:dyDescent="0.4">
      <c r="A870" s="16"/>
    </row>
    <row r="871" spans="1:1" x14ac:dyDescent="0.4">
      <c r="A871" s="16"/>
    </row>
    <row r="872" spans="1:1" x14ac:dyDescent="0.4">
      <c r="A872" s="16"/>
    </row>
    <row r="873" spans="1:1" x14ac:dyDescent="0.4">
      <c r="A873" s="16"/>
    </row>
    <row r="874" spans="1:1" x14ac:dyDescent="0.4">
      <c r="A874" s="16"/>
    </row>
    <row r="875" spans="1:1" x14ac:dyDescent="0.4">
      <c r="A875" s="16"/>
    </row>
    <row r="876" spans="1:1" x14ac:dyDescent="0.4">
      <c r="A876" s="16"/>
    </row>
    <row r="877" spans="1:1" x14ac:dyDescent="0.4">
      <c r="A877" s="16"/>
    </row>
    <row r="878" spans="1:1" x14ac:dyDescent="0.4">
      <c r="A878" s="16"/>
    </row>
    <row r="879" spans="1:1" x14ac:dyDescent="0.4">
      <c r="A879" s="16"/>
    </row>
    <row r="880" spans="1:1" x14ac:dyDescent="0.4">
      <c r="A880" s="16"/>
    </row>
    <row r="881" spans="1:1" x14ac:dyDescent="0.4">
      <c r="A881" s="16"/>
    </row>
    <row r="882" spans="1:1" x14ac:dyDescent="0.4">
      <c r="A882" s="16"/>
    </row>
    <row r="883" spans="1:1" x14ac:dyDescent="0.4">
      <c r="A883" s="16"/>
    </row>
    <row r="884" spans="1:1" x14ac:dyDescent="0.4">
      <c r="A884" s="16"/>
    </row>
    <row r="885" spans="1:1" x14ac:dyDescent="0.4">
      <c r="A885" s="16"/>
    </row>
    <row r="886" spans="1:1" x14ac:dyDescent="0.4">
      <c r="A886" s="16"/>
    </row>
    <row r="887" spans="1:1" x14ac:dyDescent="0.4">
      <c r="A887" s="16"/>
    </row>
    <row r="888" spans="1:1" x14ac:dyDescent="0.4">
      <c r="A888" s="16"/>
    </row>
    <row r="889" spans="1:1" x14ac:dyDescent="0.4">
      <c r="A889" s="16"/>
    </row>
    <row r="890" spans="1:1" x14ac:dyDescent="0.4">
      <c r="A890" s="16"/>
    </row>
    <row r="891" spans="1:1" x14ac:dyDescent="0.4">
      <c r="A891" s="16"/>
    </row>
    <row r="892" spans="1:1" x14ac:dyDescent="0.4">
      <c r="A892" s="16"/>
    </row>
    <row r="893" spans="1:1" x14ac:dyDescent="0.4">
      <c r="A893" s="16"/>
    </row>
    <row r="894" spans="1:1" x14ac:dyDescent="0.4">
      <c r="A894" s="16"/>
    </row>
    <row r="895" spans="1:1" x14ac:dyDescent="0.4">
      <c r="A895" s="16"/>
    </row>
    <row r="896" spans="1:1" x14ac:dyDescent="0.4">
      <c r="A896" s="16"/>
    </row>
    <row r="897" spans="1:1" x14ac:dyDescent="0.4">
      <c r="A897" s="16"/>
    </row>
    <row r="898" spans="1:1" x14ac:dyDescent="0.4">
      <c r="A898" s="16"/>
    </row>
    <row r="899" spans="1:1" x14ac:dyDescent="0.4">
      <c r="A899" s="16"/>
    </row>
    <row r="900" spans="1:1" x14ac:dyDescent="0.4">
      <c r="A900" s="16"/>
    </row>
    <row r="901" spans="1:1" x14ac:dyDescent="0.4">
      <c r="A901" s="16"/>
    </row>
    <row r="902" spans="1:1" x14ac:dyDescent="0.4">
      <c r="A902" s="16"/>
    </row>
    <row r="903" spans="1:1" x14ac:dyDescent="0.4">
      <c r="A903" s="16"/>
    </row>
    <row r="904" spans="1:1" x14ac:dyDescent="0.4">
      <c r="A904" s="16"/>
    </row>
    <row r="905" spans="1:1" x14ac:dyDescent="0.4">
      <c r="A905" s="16"/>
    </row>
    <row r="906" spans="1:1" x14ac:dyDescent="0.4">
      <c r="A906" s="16"/>
    </row>
    <row r="907" spans="1:1" x14ac:dyDescent="0.4">
      <c r="A907" s="16"/>
    </row>
    <row r="908" spans="1:1" x14ac:dyDescent="0.4">
      <c r="A908" s="16"/>
    </row>
    <row r="909" spans="1:1" x14ac:dyDescent="0.4">
      <c r="A909" s="16"/>
    </row>
    <row r="910" spans="1:1" x14ac:dyDescent="0.4">
      <c r="A910" s="16"/>
    </row>
    <row r="911" spans="1:1" x14ac:dyDescent="0.4">
      <c r="A911" s="16"/>
    </row>
    <row r="912" spans="1:1" x14ac:dyDescent="0.4">
      <c r="A912" s="16"/>
    </row>
    <row r="913" spans="1:1" x14ac:dyDescent="0.4">
      <c r="A913" s="16"/>
    </row>
    <row r="914" spans="1:1" x14ac:dyDescent="0.4">
      <c r="A914" s="16"/>
    </row>
    <row r="915" spans="1:1" x14ac:dyDescent="0.4">
      <c r="A915" s="16"/>
    </row>
    <row r="916" spans="1:1" x14ac:dyDescent="0.4">
      <c r="A916" s="16"/>
    </row>
    <row r="917" spans="1:1" x14ac:dyDescent="0.4">
      <c r="A917" s="16"/>
    </row>
    <row r="918" spans="1:1" x14ac:dyDescent="0.4">
      <c r="A918" s="16"/>
    </row>
    <row r="919" spans="1:1" x14ac:dyDescent="0.4">
      <c r="A919" s="16"/>
    </row>
    <row r="920" spans="1:1" x14ac:dyDescent="0.4">
      <c r="A920" s="16"/>
    </row>
    <row r="921" spans="1:1" x14ac:dyDescent="0.4">
      <c r="A921" s="16"/>
    </row>
    <row r="922" spans="1:1" x14ac:dyDescent="0.4">
      <c r="A922" s="16"/>
    </row>
    <row r="923" spans="1:1" x14ac:dyDescent="0.4">
      <c r="A923" s="16"/>
    </row>
    <row r="924" spans="1:1" x14ac:dyDescent="0.4">
      <c r="A924" s="16"/>
    </row>
    <row r="925" spans="1:1" x14ac:dyDescent="0.4">
      <c r="A925" s="16"/>
    </row>
    <row r="926" spans="1:1" x14ac:dyDescent="0.4">
      <c r="A926" s="16"/>
    </row>
    <row r="927" spans="1:1" x14ac:dyDescent="0.4">
      <c r="A927" s="16"/>
    </row>
    <row r="928" spans="1:1" x14ac:dyDescent="0.4">
      <c r="A928" s="16"/>
    </row>
    <row r="929" spans="1:1" x14ac:dyDescent="0.4">
      <c r="A929" s="16"/>
    </row>
    <row r="930" spans="1:1" x14ac:dyDescent="0.4">
      <c r="A930" s="16"/>
    </row>
    <row r="931" spans="1:1" x14ac:dyDescent="0.4">
      <c r="A931" s="16"/>
    </row>
    <row r="932" spans="1:1" x14ac:dyDescent="0.4">
      <c r="A932" s="16"/>
    </row>
    <row r="933" spans="1:1" x14ac:dyDescent="0.4">
      <c r="A933" s="16"/>
    </row>
    <row r="934" spans="1:1" x14ac:dyDescent="0.4">
      <c r="A934" s="16"/>
    </row>
    <row r="935" spans="1:1" x14ac:dyDescent="0.4">
      <c r="A935" s="16"/>
    </row>
    <row r="936" spans="1:1" x14ac:dyDescent="0.4">
      <c r="A936" s="16"/>
    </row>
    <row r="937" spans="1:1" x14ac:dyDescent="0.4">
      <c r="A937" s="16"/>
    </row>
    <row r="938" spans="1:1" x14ac:dyDescent="0.4">
      <c r="A938" s="16"/>
    </row>
    <row r="939" spans="1:1" x14ac:dyDescent="0.4">
      <c r="A939" s="16"/>
    </row>
    <row r="940" spans="1:1" x14ac:dyDescent="0.4">
      <c r="A940" s="16"/>
    </row>
    <row r="941" spans="1:1" x14ac:dyDescent="0.4">
      <c r="A941" s="16"/>
    </row>
    <row r="942" spans="1:1" x14ac:dyDescent="0.4">
      <c r="A942" s="16"/>
    </row>
    <row r="943" spans="1:1" x14ac:dyDescent="0.4">
      <c r="A943" s="16"/>
    </row>
    <row r="944" spans="1:1" x14ac:dyDescent="0.4">
      <c r="A944" s="16"/>
    </row>
    <row r="945" spans="1:1" x14ac:dyDescent="0.4">
      <c r="A945" s="16"/>
    </row>
    <row r="946" spans="1:1" x14ac:dyDescent="0.4">
      <c r="A946" s="16"/>
    </row>
    <row r="947" spans="1:1" x14ac:dyDescent="0.4">
      <c r="A947" s="16"/>
    </row>
    <row r="948" spans="1:1" x14ac:dyDescent="0.4">
      <c r="A948" s="16"/>
    </row>
    <row r="949" spans="1:1" x14ac:dyDescent="0.4">
      <c r="A949" s="16"/>
    </row>
    <row r="950" spans="1:1" x14ac:dyDescent="0.4">
      <c r="A950" s="16"/>
    </row>
    <row r="951" spans="1:1" x14ac:dyDescent="0.4">
      <c r="A951" s="16"/>
    </row>
    <row r="952" spans="1:1" x14ac:dyDescent="0.4">
      <c r="A952" s="16"/>
    </row>
    <row r="953" spans="1:1" x14ac:dyDescent="0.4">
      <c r="A953" s="16"/>
    </row>
    <row r="954" spans="1:1" x14ac:dyDescent="0.4">
      <c r="A954" s="16"/>
    </row>
    <row r="955" spans="1:1" x14ac:dyDescent="0.4">
      <c r="A955" s="16"/>
    </row>
    <row r="956" spans="1:1" x14ac:dyDescent="0.4">
      <c r="A956" s="16"/>
    </row>
    <row r="957" spans="1:1" x14ac:dyDescent="0.4">
      <c r="A957" s="16"/>
    </row>
    <row r="958" spans="1:1" x14ac:dyDescent="0.4">
      <c r="A958" s="16"/>
    </row>
    <row r="959" spans="1:1" x14ac:dyDescent="0.4">
      <c r="A959" s="16"/>
    </row>
    <row r="960" spans="1:1" x14ac:dyDescent="0.4">
      <c r="A960" s="16"/>
    </row>
    <row r="961" spans="1:1" x14ac:dyDescent="0.4">
      <c r="A961" s="16"/>
    </row>
    <row r="962" spans="1:1" x14ac:dyDescent="0.4">
      <c r="A962" s="16"/>
    </row>
    <row r="963" spans="1:1" x14ac:dyDescent="0.4">
      <c r="A963" s="16"/>
    </row>
    <row r="964" spans="1:1" x14ac:dyDescent="0.4">
      <c r="A964" s="16"/>
    </row>
    <row r="965" spans="1:1" x14ac:dyDescent="0.4">
      <c r="A965" s="16"/>
    </row>
    <row r="966" spans="1:1" x14ac:dyDescent="0.4">
      <c r="A966" s="16"/>
    </row>
    <row r="967" spans="1:1" x14ac:dyDescent="0.4">
      <c r="A967" s="16"/>
    </row>
    <row r="968" spans="1:1" x14ac:dyDescent="0.4">
      <c r="A968" s="16"/>
    </row>
    <row r="969" spans="1:1" x14ac:dyDescent="0.4">
      <c r="A969" s="16"/>
    </row>
    <row r="970" spans="1:1" x14ac:dyDescent="0.4">
      <c r="A970" s="16"/>
    </row>
    <row r="971" spans="1:1" x14ac:dyDescent="0.4">
      <c r="A971" s="16"/>
    </row>
    <row r="972" spans="1:1" x14ac:dyDescent="0.4">
      <c r="A972" s="16"/>
    </row>
    <row r="973" spans="1:1" x14ac:dyDescent="0.4">
      <c r="A973" s="16"/>
    </row>
    <row r="974" spans="1:1" x14ac:dyDescent="0.4">
      <c r="A974" s="16"/>
    </row>
    <row r="975" spans="1:1" x14ac:dyDescent="0.4">
      <c r="A975" s="16"/>
    </row>
    <row r="976" spans="1:1" x14ac:dyDescent="0.4">
      <c r="A976" s="16"/>
    </row>
    <row r="977" spans="1:1" x14ac:dyDescent="0.4">
      <c r="A977" s="16"/>
    </row>
    <row r="978" spans="1:1" x14ac:dyDescent="0.4">
      <c r="A978" s="16"/>
    </row>
    <row r="979" spans="1:1" x14ac:dyDescent="0.4">
      <c r="A979" s="16"/>
    </row>
    <row r="980" spans="1:1" x14ac:dyDescent="0.4">
      <c r="A980" s="16"/>
    </row>
    <row r="981" spans="1:1" x14ac:dyDescent="0.4">
      <c r="A981" s="16"/>
    </row>
    <row r="982" spans="1:1" x14ac:dyDescent="0.4">
      <c r="A982" s="16"/>
    </row>
    <row r="983" spans="1:1" x14ac:dyDescent="0.4">
      <c r="A983" s="16"/>
    </row>
    <row r="984" spans="1:1" x14ac:dyDescent="0.4">
      <c r="A984" s="16"/>
    </row>
    <row r="985" spans="1:1" x14ac:dyDescent="0.4">
      <c r="A985" s="16"/>
    </row>
    <row r="986" spans="1:1" x14ac:dyDescent="0.4">
      <c r="A986" s="16"/>
    </row>
    <row r="987" spans="1:1" x14ac:dyDescent="0.4">
      <c r="A987" s="16"/>
    </row>
    <row r="988" spans="1:1" x14ac:dyDescent="0.4">
      <c r="A988" s="16"/>
    </row>
    <row r="989" spans="1:1" x14ac:dyDescent="0.4">
      <c r="A989" s="16"/>
    </row>
    <row r="990" spans="1:1" x14ac:dyDescent="0.4">
      <c r="A990" s="16"/>
    </row>
    <row r="991" spans="1:1" x14ac:dyDescent="0.4">
      <c r="A991" s="16"/>
    </row>
    <row r="992" spans="1:1" x14ac:dyDescent="0.4">
      <c r="A992" s="16"/>
    </row>
    <row r="993" spans="1:1" x14ac:dyDescent="0.4">
      <c r="A993" s="16"/>
    </row>
    <row r="994" spans="1:1" x14ac:dyDescent="0.4">
      <c r="A994" s="16"/>
    </row>
    <row r="995" spans="1:1" x14ac:dyDescent="0.4">
      <c r="A995" s="16"/>
    </row>
    <row r="996" spans="1:1" x14ac:dyDescent="0.4">
      <c r="A996" s="16"/>
    </row>
    <row r="997" spans="1:1" x14ac:dyDescent="0.4">
      <c r="A997" s="16"/>
    </row>
    <row r="998" spans="1:1" x14ac:dyDescent="0.4">
      <c r="A998" s="16"/>
    </row>
    <row r="999" spans="1:1" x14ac:dyDescent="0.4">
      <c r="A999" s="16"/>
    </row>
    <row r="1000" spans="1:1" x14ac:dyDescent="0.4">
      <c r="A1000" s="16"/>
    </row>
    <row r="1001" spans="1:1" x14ac:dyDescent="0.4">
      <c r="A1001" s="16"/>
    </row>
  </sheetData>
  <mergeCells count="3">
    <mergeCell ref="T2:T9"/>
    <mergeCell ref="L2:L9"/>
    <mergeCell ref="L60:L6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9A65-3EF2-4B00-A2DD-7FCB3365820A}">
  <sheetPr codeName="工作表22"/>
  <dimension ref="A1:U59"/>
  <sheetViews>
    <sheetView tabSelected="1" topLeftCell="B1" zoomScale="34" zoomScaleNormal="34" workbookViewId="0">
      <selection activeCell="Q3" sqref="Q3:R58"/>
    </sheetView>
  </sheetViews>
  <sheetFormatPr defaultColWidth="8.81640625" defaultRowHeight="17" x14ac:dyDescent="0.4"/>
  <cols>
    <col min="1" max="1" width="120.36328125" bestFit="1" customWidth="1"/>
    <col min="2" max="2" width="15.08984375" bestFit="1" customWidth="1"/>
    <col min="3" max="7" width="13.36328125" bestFit="1" customWidth="1"/>
    <col min="8" max="8" width="8.453125" customWidth="1"/>
    <col min="9" max="9" width="154.36328125" bestFit="1" customWidth="1"/>
    <col min="10" max="10" width="15.08984375" bestFit="1" customWidth="1"/>
    <col min="11" max="15" width="13.36328125" bestFit="1" customWidth="1"/>
    <col min="16" max="16" width="14.81640625" bestFit="1" customWidth="1"/>
    <col min="17" max="17" width="12.90625" customWidth="1"/>
    <col min="18" max="18" width="13.6328125" bestFit="1" customWidth="1"/>
    <col min="19" max="19" width="21.6328125" bestFit="1" customWidth="1"/>
    <col min="20" max="20" width="14.6328125" bestFit="1" customWidth="1"/>
    <col min="21" max="21" width="16.453125" bestFit="1" customWidth="1"/>
    <col min="22" max="22" width="13.36328125" bestFit="1" customWidth="1"/>
  </cols>
  <sheetData>
    <row r="1" spans="1:21" ht="18" thickTop="1" thickBot="1" x14ac:dyDescent="0.45">
      <c r="A1" s="18" t="s">
        <v>106</v>
      </c>
      <c r="B1" s="36" t="s">
        <v>90</v>
      </c>
      <c r="C1" s="20" t="s">
        <v>20</v>
      </c>
      <c r="D1" s="21" t="s">
        <v>14</v>
      </c>
      <c r="E1" s="22" t="s">
        <v>17</v>
      </c>
      <c r="F1" s="21" t="s">
        <v>18</v>
      </c>
      <c r="G1" s="24" t="s">
        <v>15</v>
      </c>
      <c r="I1" s="70" t="s">
        <v>109</v>
      </c>
      <c r="J1" s="54" t="s">
        <v>90</v>
      </c>
      <c r="K1" s="55" t="s">
        <v>125</v>
      </c>
      <c r="L1" s="56" t="s">
        <v>126</v>
      </c>
      <c r="M1" s="57" t="s">
        <v>127</v>
      </c>
      <c r="N1" s="56" t="s">
        <v>128</v>
      </c>
      <c r="O1" s="57" t="s">
        <v>129</v>
      </c>
      <c r="P1" s="55" t="s">
        <v>13</v>
      </c>
      <c r="Q1" s="56" t="s">
        <v>130</v>
      </c>
      <c r="R1" s="57" t="s">
        <v>131</v>
      </c>
      <c r="S1" s="57" t="s">
        <v>108</v>
      </c>
      <c r="T1" s="60" t="s">
        <v>121</v>
      </c>
      <c r="U1" s="74" t="s">
        <v>122</v>
      </c>
    </row>
    <row r="2" spans="1:21" ht="17.5" thickBot="1" x14ac:dyDescent="0.45">
      <c r="A2" s="107" t="s">
        <v>112</v>
      </c>
      <c r="B2" s="19">
        <v>1</v>
      </c>
      <c r="C2">
        <v>0</v>
      </c>
      <c r="D2">
        <v>0</v>
      </c>
      <c r="E2">
        <v>0</v>
      </c>
      <c r="F2">
        <v>0</v>
      </c>
      <c r="G2" s="25">
        <v>0</v>
      </c>
      <c r="I2" s="73" t="s">
        <v>118</v>
      </c>
      <c r="J2" s="68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77">
        <v>0</v>
      </c>
      <c r="U2" s="75">
        <v>4.6300000000000001E-2</v>
      </c>
    </row>
    <row r="3" spans="1:21" x14ac:dyDescent="0.4">
      <c r="A3" s="108"/>
      <c r="B3" s="19">
        <v>2</v>
      </c>
      <c r="C3" cm="1">
        <f t="array" aca="1" ref="C3:G58" ca="1">_xlfn.RANDARRAY(56,5)</f>
        <v>0.35523296366935964</v>
      </c>
      <c r="D3">
        <f ca="1"/>
        <v>0.7354435227713032</v>
      </c>
      <c r="E3">
        <f ca="1"/>
        <v>0.1952032830531043</v>
      </c>
      <c r="F3">
        <f ca="1"/>
        <v>0.41145749531362252</v>
      </c>
      <c r="G3" s="25">
        <f ca="1"/>
        <v>0.32122454100764308</v>
      </c>
      <c r="I3" s="71" t="s">
        <v>110</v>
      </c>
      <c r="J3" s="68">
        <v>2</v>
      </c>
      <c r="K3" s="89">
        <f ca="1">C3/SUM($C3:$G3)</f>
        <v>0.17598319885277311</v>
      </c>
      <c r="L3" s="89">
        <f t="shared" ref="L3:O3" ca="1" si="0">D3/SUM($C3:$G3)</f>
        <v>0.36434035393548625</v>
      </c>
      <c r="M3" s="89">
        <f t="shared" ca="1" si="0"/>
        <v>9.6704139794365762E-2</v>
      </c>
      <c r="N3" s="89">
        <f t="shared" ca="1" si="0"/>
        <v>0.20383695665314977</v>
      </c>
      <c r="O3" s="89">
        <f t="shared" ca="1" si="0"/>
        <v>0.15913535076422522</v>
      </c>
      <c r="P3" s="89">
        <f ca="1">SUM(K3:O3)</f>
        <v>1.0000000000000002</v>
      </c>
      <c r="Q3" s="89">
        <f ca="1">(SUMPRODUCT(K3:O3,MMULT(K3:O3,五股收盤價與其他數據彙總!$P$9:$T$13)))</f>
        <v>7.9444508859929637E-5</v>
      </c>
      <c r="R3" s="89">
        <f ca="1">SUMPRODUCT(K3:O3,模擬股票報酬!$C$62:$G$62)</f>
        <v>4.6167876329165969E-2</v>
      </c>
      <c r="S3" s="89">
        <f ca="1">R3^0.5</f>
        <v>0.21486711318665305</v>
      </c>
      <c r="T3" s="78">
        <f ca="1">(Q3-$U$2)/$S3</f>
        <v>-0.21511228407945662</v>
      </c>
      <c r="U3" s="67" t="s">
        <v>93</v>
      </c>
    </row>
    <row r="4" spans="1:21" x14ac:dyDescent="0.4">
      <c r="A4" s="108"/>
      <c r="B4" s="19">
        <v>3</v>
      </c>
      <c r="C4">
        <f ca="1"/>
        <v>0.38374791423241073</v>
      </c>
      <c r="D4">
        <f ca="1"/>
        <v>0.34667610705397855</v>
      </c>
      <c r="E4">
        <f ca="1"/>
        <v>0.34926583617948381</v>
      </c>
      <c r="F4">
        <f ca="1"/>
        <v>0.86208798243230933</v>
      </c>
      <c r="G4" s="25">
        <f ca="1"/>
        <v>9.3629055435554775E-2</v>
      </c>
      <c r="I4" s="71" t="s">
        <v>111</v>
      </c>
      <c r="J4" s="68">
        <v>3</v>
      </c>
      <c r="K4" s="89">
        <f t="shared" ref="K4:K58" ca="1" si="1">C4/SUM($C4:$G4)</f>
        <v>0.18853621608149718</v>
      </c>
      <c r="L4" s="89">
        <f t="shared" ref="L4:L58" ca="1" si="2">D4/SUM($C4:$G4)</f>
        <v>0.17032275357263912</v>
      </c>
      <c r="M4" s="89">
        <f t="shared" ref="M4:M58" ca="1" si="3">E4/SUM($C4:$G4)</f>
        <v>0.17159509333499443</v>
      </c>
      <c r="N4" s="89">
        <f t="shared" ref="N4:N58" ca="1" si="4">F4/SUM($C4:$G4)</f>
        <v>0.42354577082778155</v>
      </c>
      <c r="O4" s="89">
        <f t="shared" ref="O4:O58" ca="1" si="5">G4/SUM($C4:$G4)</f>
        <v>4.6000166183087839E-2</v>
      </c>
      <c r="P4" s="89">
        <f t="shared" ref="P4:P58" ca="1" si="6">SUM(K4:O4)</f>
        <v>1.0000000000000002</v>
      </c>
      <c r="Q4" s="89">
        <f ca="1">(SUMPRODUCT(K4:O4,MMULT(K4:O4,五股收盤價與其他數據彙總!$P$9:$T$13)))</f>
        <v>4.8923628650205364E-5</v>
      </c>
      <c r="R4" s="89">
        <f ca="1">SUMPRODUCT(K4:O4,模擬股票報酬!$C$62:$G$62)</f>
        <v>3.4982989999311119E-2</v>
      </c>
      <c r="S4" s="89">
        <f t="shared" ref="S4:S58" ca="1" si="7">R4^0.5</f>
        <v>0.1870374026747354</v>
      </c>
      <c r="T4" s="78">
        <f t="shared" ref="T4:T58" ca="1" si="8">(Q4-$U$2)/$S4</f>
        <v>-0.2472824991682655</v>
      </c>
    </row>
    <row r="5" spans="1:21" x14ac:dyDescent="0.4">
      <c r="A5" s="108"/>
      <c r="B5" s="19">
        <v>4</v>
      </c>
      <c r="C5">
        <f ca="1"/>
        <v>0.6358366805312694</v>
      </c>
      <c r="D5">
        <f ca="1"/>
        <v>0.77690717455864355</v>
      </c>
      <c r="E5">
        <f ca="1"/>
        <v>0.24187578096806894</v>
      </c>
      <c r="F5">
        <f ca="1"/>
        <v>0.27988064101172849</v>
      </c>
      <c r="G5" s="25">
        <f ca="1"/>
        <v>0.8610604909745434</v>
      </c>
      <c r="I5" s="71" t="s">
        <v>113</v>
      </c>
      <c r="J5" s="68">
        <v>4</v>
      </c>
      <c r="K5" s="89">
        <f t="shared" ca="1" si="1"/>
        <v>0.22744512936347089</v>
      </c>
      <c r="L5" s="89">
        <f t="shared" ca="1" si="2"/>
        <v>0.2779074536455739</v>
      </c>
      <c r="M5" s="89">
        <f t="shared" ca="1" si="3"/>
        <v>8.6521381947022663E-2</v>
      </c>
      <c r="N5" s="89">
        <f t="shared" ca="1" si="4"/>
        <v>0.10011609985767905</v>
      </c>
      <c r="O5" s="89">
        <f t="shared" ca="1" si="5"/>
        <v>0.30800993518625336</v>
      </c>
      <c r="P5" s="89">
        <f t="shared" ca="1" si="6"/>
        <v>0.99999999999999978</v>
      </c>
      <c r="Q5" s="89">
        <f ca="1">(SUMPRODUCT(K5:O5,MMULT(K5:O5,五股收盤價與其他數據彙總!$P$9:$T$13)))</f>
        <v>5.5303164121692543E-5</v>
      </c>
      <c r="R5" s="89">
        <f ca="1">SUMPRODUCT(K5:O5,模擬股票報酬!$C$62:$G$62)</f>
        <v>3.7457697370667037E-2</v>
      </c>
      <c r="S5" s="89">
        <f t="shared" ca="1" si="7"/>
        <v>0.19353991157037104</v>
      </c>
      <c r="T5" s="78">
        <f t="shared" ca="1" si="8"/>
        <v>-0.23894139694831756</v>
      </c>
    </row>
    <row r="6" spans="1:21" x14ac:dyDescent="0.4">
      <c r="A6" s="108"/>
      <c r="B6" s="19">
        <v>5</v>
      </c>
      <c r="C6">
        <f ca="1"/>
        <v>0.85817516072538869</v>
      </c>
      <c r="D6">
        <f ca="1"/>
        <v>0.63296139009674834</v>
      </c>
      <c r="E6">
        <f ca="1"/>
        <v>0.24179341856893322</v>
      </c>
      <c r="F6">
        <f ca="1"/>
        <v>0.46481500603923864</v>
      </c>
      <c r="G6" s="25">
        <f ca="1"/>
        <v>0.42008638086669481</v>
      </c>
      <c r="I6" s="71" t="s">
        <v>114</v>
      </c>
      <c r="J6" s="68">
        <v>5</v>
      </c>
      <c r="K6" s="89">
        <f t="shared" ca="1" si="1"/>
        <v>0.32781911587280455</v>
      </c>
      <c r="L6" s="89">
        <f t="shared" ca="1" si="2"/>
        <v>0.24178845156476772</v>
      </c>
      <c r="M6" s="89">
        <f t="shared" ca="1" si="3"/>
        <v>9.2364016493009238E-2</v>
      </c>
      <c r="N6" s="89">
        <f t="shared" ca="1" si="4"/>
        <v>0.1775572765301171</v>
      </c>
      <c r="O6" s="89">
        <f t="shared" ca="1" si="5"/>
        <v>0.16047113953930126</v>
      </c>
      <c r="P6" s="89">
        <f t="shared" ca="1" si="6"/>
        <v>0.99999999999999989</v>
      </c>
      <c r="Q6" s="89">
        <f ca="1">(SUMPRODUCT(K6:O6,MMULT(K6:O6,五股收盤價與其他數據彙總!$P$9:$T$13)))</f>
        <v>5.4382381869029516E-5</v>
      </c>
      <c r="R6" s="89">
        <f ca="1">SUMPRODUCT(K6:O6,模擬股票報酬!$C$62:$G$62)</f>
        <v>3.5317230171016817E-2</v>
      </c>
      <c r="S6" s="89">
        <f t="shared" ca="1" si="7"/>
        <v>0.18792879016004124</v>
      </c>
      <c r="T6" s="78">
        <f t="shared" ca="1" si="8"/>
        <v>-0.24608053709465133</v>
      </c>
    </row>
    <row r="7" spans="1:21" x14ac:dyDescent="0.4">
      <c r="A7" s="108"/>
      <c r="B7" s="19">
        <v>6</v>
      </c>
      <c r="C7">
        <f ca="1"/>
        <v>0.51016548432855902</v>
      </c>
      <c r="D7">
        <f ca="1"/>
        <v>0.31940808586721414</v>
      </c>
      <c r="E7">
        <f ca="1"/>
        <v>0.10636823256149852</v>
      </c>
      <c r="F7">
        <f ca="1"/>
        <v>0.44437180142018984</v>
      </c>
      <c r="G7" s="25">
        <f ca="1"/>
        <v>0.51227093907774224</v>
      </c>
      <c r="I7" s="71" t="s">
        <v>116</v>
      </c>
      <c r="J7" s="68">
        <v>6</v>
      </c>
      <c r="K7" s="89">
        <f t="shared" ca="1" si="1"/>
        <v>0.26956020862935171</v>
      </c>
      <c r="L7" s="89">
        <f t="shared" ca="1" si="2"/>
        <v>0.16876819955310385</v>
      </c>
      <c r="M7" s="89">
        <f t="shared" ca="1" si="3"/>
        <v>5.6202631972544541E-2</v>
      </c>
      <c r="N7" s="89">
        <f t="shared" ca="1" si="4"/>
        <v>0.23479627528600658</v>
      </c>
      <c r="O7" s="89">
        <f t="shared" ca="1" si="5"/>
        <v>0.27067268455899335</v>
      </c>
      <c r="P7" s="89">
        <f t="shared" ca="1" si="6"/>
        <v>1</v>
      </c>
      <c r="Q7" s="89">
        <f ca="1">(SUMPRODUCT(K7:O7,MMULT(K7:O7,五股收盤價與其他數據彙總!$P$9:$T$13)))</f>
        <v>3.9061478275439182E-5</v>
      </c>
      <c r="R7" s="89">
        <f ca="1">SUMPRODUCT(K7:O7,模擬股票報酬!$C$62:$G$62)</f>
        <v>2.9058081085573079E-2</v>
      </c>
      <c r="S7" s="89">
        <f t="shared" ca="1" si="7"/>
        <v>0.17046431029858736</v>
      </c>
      <c r="T7" s="78">
        <f t="shared" ca="1" si="8"/>
        <v>-0.27138195931273434</v>
      </c>
    </row>
    <row r="8" spans="1:21" x14ac:dyDescent="0.4">
      <c r="A8" s="108"/>
      <c r="B8" s="19">
        <v>7</v>
      </c>
      <c r="C8">
        <f ca="1"/>
        <v>0.55280517388181627</v>
      </c>
      <c r="D8">
        <f ca="1"/>
        <v>0.87707304557416998</v>
      </c>
      <c r="E8">
        <f ca="1"/>
        <v>0.55262412840690733</v>
      </c>
      <c r="F8">
        <f ca="1"/>
        <v>0.72954321259201649</v>
      </c>
      <c r="G8" s="25">
        <f ca="1"/>
        <v>0.25147746898011514</v>
      </c>
      <c r="I8" s="71" t="s">
        <v>117</v>
      </c>
      <c r="J8" s="68">
        <v>7</v>
      </c>
      <c r="K8" s="89">
        <f t="shared" ca="1" si="1"/>
        <v>0.18653648660432537</v>
      </c>
      <c r="L8" s="89">
        <f t="shared" ca="1" si="2"/>
        <v>0.29595621051791787</v>
      </c>
      <c r="M8" s="89">
        <f t="shared" ca="1" si="3"/>
        <v>0.18647539530416987</v>
      </c>
      <c r="N8" s="89">
        <f t="shared" ca="1" si="4"/>
        <v>0.24617430178401509</v>
      </c>
      <c r="O8" s="89">
        <f t="shared" ca="1" si="5"/>
        <v>8.4857605789571869E-2</v>
      </c>
      <c r="P8" s="89">
        <f t="shared" ca="1" si="6"/>
        <v>1</v>
      </c>
      <c r="Q8" s="89">
        <f ca="1">(SUMPRODUCT(K8:O8,MMULT(K8:O8,五股收盤價與其他數據彙總!$P$9:$T$13)))</f>
        <v>6.7600682899166242E-5</v>
      </c>
      <c r="R8" s="89">
        <f ca="1">SUMPRODUCT(K8:O8,模擬股票報酬!$C$62:$G$62)</f>
        <v>4.3687140187508945E-2</v>
      </c>
      <c r="S8" s="89">
        <f t="shared" ca="1" si="7"/>
        <v>0.20901468892761807</v>
      </c>
      <c r="T8" s="78">
        <f t="shared" ca="1" si="8"/>
        <v>-0.2211921064222962</v>
      </c>
    </row>
    <row r="9" spans="1:21" ht="17.5" thickBot="1" x14ac:dyDescent="0.45">
      <c r="A9" s="109"/>
      <c r="B9" s="19">
        <v>8</v>
      </c>
      <c r="C9">
        <f ca="1"/>
        <v>0.54269710007704663</v>
      </c>
      <c r="D9">
        <f ca="1"/>
        <v>0.82440041440474521</v>
      </c>
      <c r="E9">
        <f ca="1"/>
        <v>7.3965924628313751E-2</v>
      </c>
      <c r="F9">
        <f ca="1"/>
        <v>0.10634259529612766</v>
      </c>
      <c r="G9" s="25">
        <f ca="1"/>
        <v>0.26863245126284108</v>
      </c>
      <c r="I9" s="71" t="s">
        <v>115</v>
      </c>
      <c r="J9" s="68">
        <v>8</v>
      </c>
      <c r="K9" s="89">
        <f t="shared" ca="1" si="1"/>
        <v>0.29883568237107228</v>
      </c>
      <c r="L9" s="89">
        <f t="shared" ca="1" si="2"/>
        <v>0.45395536543434833</v>
      </c>
      <c r="M9" s="89">
        <f t="shared" ca="1" si="3"/>
        <v>4.0729271550136142E-2</v>
      </c>
      <c r="N9" s="89">
        <f t="shared" ca="1" si="4"/>
        <v>5.8557456868513651E-2</v>
      </c>
      <c r="O9" s="89">
        <f t="shared" ca="1" si="5"/>
        <v>0.14792222377592956</v>
      </c>
      <c r="P9" s="89">
        <f t="shared" ca="1" si="6"/>
        <v>1</v>
      </c>
      <c r="Q9" s="89">
        <f ca="1">(SUMPRODUCT(K9:O9,MMULT(K9:O9,五股收盤價與其他數據彙總!$P$9:$T$13)))</f>
        <v>1.0724355732801298E-4</v>
      </c>
      <c r="R9" s="89">
        <f ca="1">SUMPRODUCT(K9:O9,模擬股票報酬!$C$62:$G$62)</f>
        <v>4.9881153242392125E-2</v>
      </c>
      <c r="S9" s="89">
        <f t="shared" ca="1" si="7"/>
        <v>0.22334089021581366</v>
      </c>
      <c r="T9" s="78">
        <f t="shared" ca="1" si="8"/>
        <v>-0.20682623946755144</v>
      </c>
    </row>
    <row r="10" spans="1:21" x14ac:dyDescent="0.4">
      <c r="A10" s="66"/>
      <c r="B10" s="19">
        <v>9</v>
      </c>
      <c r="C10">
        <f ca="1"/>
        <v>0.63853817482409125</v>
      </c>
      <c r="D10">
        <f ca="1"/>
        <v>0.42129359509978426</v>
      </c>
      <c r="E10">
        <f ca="1"/>
        <v>0.72856872372214654</v>
      </c>
      <c r="F10">
        <f ca="1"/>
        <v>0.77119743955868159</v>
      </c>
      <c r="G10" s="25">
        <f ca="1"/>
        <v>0.37486490293129004</v>
      </c>
      <c r="I10" s="71" t="s">
        <v>124</v>
      </c>
      <c r="J10" s="68">
        <v>9</v>
      </c>
      <c r="K10" s="89">
        <f t="shared" ca="1" si="1"/>
        <v>0.21759968024161372</v>
      </c>
      <c r="L10" s="89">
        <f t="shared" ca="1" si="2"/>
        <v>0.14356753471600617</v>
      </c>
      <c r="M10" s="89">
        <f t="shared" ca="1" si="3"/>
        <v>0.24828009908672155</v>
      </c>
      <c r="N10" s="89">
        <f t="shared" ca="1" si="4"/>
        <v>0.26280702214452628</v>
      </c>
      <c r="O10" s="89">
        <f t="shared" ca="1" si="5"/>
        <v>0.12774566381113214</v>
      </c>
      <c r="P10" s="89">
        <f t="shared" ca="1" si="6"/>
        <v>0.99999999999999989</v>
      </c>
      <c r="Q10" s="89">
        <f ca="1">(SUMPRODUCT(K10:O10,MMULT(K10:O10,五股收盤價與其他數據彙總!$P$9:$T$13)))</f>
        <v>4.0824051688479141E-5</v>
      </c>
      <c r="R10" s="89">
        <f ca="1">SUMPRODUCT(K10:O10,模擬股票報酬!$C$62:$G$62)</f>
        <v>3.3141998080140289E-2</v>
      </c>
      <c r="S10" s="89">
        <f t="shared" ca="1" si="7"/>
        <v>0.18204943856035449</v>
      </c>
      <c r="T10" s="78">
        <f t="shared" ca="1" si="8"/>
        <v>-0.25410227196594898</v>
      </c>
    </row>
    <row r="11" spans="1:21" ht="17.5" thickBot="1" x14ac:dyDescent="0.45">
      <c r="B11" s="19">
        <v>10</v>
      </c>
      <c r="C11">
        <f ca="1"/>
        <v>0.75705779272947038</v>
      </c>
      <c r="D11">
        <f ca="1"/>
        <v>0.7416409532759467</v>
      </c>
      <c r="E11">
        <f ca="1"/>
        <v>0.40979248887049602</v>
      </c>
      <c r="F11">
        <f ca="1"/>
        <v>0.91479645203832649</v>
      </c>
      <c r="G11" s="25">
        <f ca="1"/>
        <v>0.43515435052076956</v>
      </c>
      <c r="I11" s="72"/>
      <c r="J11" s="68">
        <v>10</v>
      </c>
      <c r="K11" s="89">
        <f t="shared" ca="1" si="1"/>
        <v>0.23233735141884357</v>
      </c>
      <c r="L11" s="89">
        <f t="shared" ca="1" si="2"/>
        <v>0.22760599843591325</v>
      </c>
      <c r="M11" s="89">
        <f t="shared" ca="1" si="3"/>
        <v>0.12576332006601465</v>
      </c>
      <c r="N11" s="89">
        <f t="shared" ca="1" si="4"/>
        <v>0.28074657812800585</v>
      </c>
      <c r="O11" s="89">
        <f t="shared" ca="1" si="5"/>
        <v>0.13354675195122259</v>
      </c>
      <c r="P11" s="89">
        <f t="shared" ca="1" si="6"/>
        <v>0.99999999999999989</v>
      </c>
      <c r="Q11" s="89">
        <f ca="1">(SUMPRODUCT(K11:O11,MMULT(K11:O11,五股收盤價與其他數據彙總!$P$9:$T$13)))</f>
        <v>5.2070056523431675E-5</v>
      </c>
      <c r="R11" s="89">
        <f ca="1">SUMPRODUCT(K11:O11,模擬股票報酬!$C$62:$G$62)</f>
        <v>3.6567437529838362E-2</v>
      </c>
      <c r="S11" s="89">
        <f t="shared" ca="1" si="7"/>
        <v>0.1912261423807905</v>
      </c>
      <c r="T11" s="78">
        <f t="shared" ca="1" si="8"/>
        <v>-0.24184941121377959</v>
      </c>
    </row>
    <row r="12" spans="1:21" x14ac:dyDescent="0.4">
      <c r="B12" s="19">
        <v>11</v>
      </c>
      <c r="C12">
        <f ca="1"/>
        <v>0.98594746414230383</v>
      </c>
      <c r="D12">
        <f ca="1"/>
        <v>0.84708549649521592</v>
      </c>
      <c r="E12">
        <f ca="1"/>
        <v>0.29084949957325557</v>
      </c>
      <c r="F12">
        <f ca="1"/>
        <v>0.50612053733981277</v>
      </c>
      <c r="G12" s="25">
        <f ca="1"/>
        <v>0.24041485338641722</v>
      </c>
      <c r="J12" s="68">
        <v>11</v>
      </c>
      <c r="K12" s="89">
        <f t="shared" ca="1" si="1"/>
        <v>0.34348569279572172</v>
      </c>
      <c r="L12" s="89">
        <f t="shared" ca="1" si="2"/>
        <v>0.29510877526723067</v>
      </c>
      <c r="M12" s="89">
        <f t="shared" ca="1" si="3"/>
        <v>0.10132653664981636</v>
      </c>
      <c r="N12" s="89">
        <f t="shared" ca="1" si="4"/>
        <v>0.17632294795498057</v>
      </c>
      <c r="O12" s="89">
        <f t="shared" ca="1" si="5"/>
        <v>8.3756047332250727E-2</v>
      </c>
      <c r="P12" s="89">
        <f t="shared" ca="1" si="6"/>
        <v>1</v>
      </c>
      <c r="Q12" s="89">
        <f ca="1">(SUMPRODUCT(K12:O12,MMULT(K12:O12,五股收盤價與其他數據彙總!$P$9:$T$13)))</f>
        <v>6.8447344884490152E-5</v>
      </c>
      <c r="R12" s="89">
        <f ca="1">SUMPRODUCT(K12:O12,模擬股票報酬!$C$62:$G$62)</f>
        <v>3.990296148204911E-2</v>
      </c>
      <c r="S12" s="89">
        <f t="shared" ca="1" si="7"/>
        <v>0.19975725639397712</v>
      </c>
      <c r="T12" s="78">
        <f t="shared" ca="1" si="8"/>
        <v>-0.23143866455561432</v>
      </c>
    </row>
    <row r="13" spans="1:21" x14ac:dyDescent="0.4">
      <c r="B13" s="19">
        <v>12</v>
      </c>
      <c r="C13">
        <f ca="1"/>
        <v>0.60737785723634952</v>
      </c>
      <c r="D13">
        <f ca="1"/>
        <v>0.47057948388238713</v>
      </c>
      <c r="E13">
        <f ca="1"/>
        <v>0.32766370709379644</v>
      </c>
      <c r="F13">
        <f ca="1"/>
        <v>8.0480968022760724E-2</v>
      </c>
      <c r="G13" s="25">
        <f ca="1"/>
        <v>0.37882549590755699</v>
      </c>
      <c r="J13" s="68">
        <v>12</v>
      </c>
      <c r="K13" s="89">
        <f t="shared" ca="1" si="1"/>
        <v>0.32568443185143231</v>
      </c>
      <c r="L13" s="89">
        <f t="shared" ca="1" si="2"/>
        <v>0.25233124655964717</v>
      </c>
      <c r="M13" s="89">
        <f t="shared" ca="1" si="3"/>
        <v>0.17569782469309073</v>
      </c>
      <c r="N13" s="89">
        <f t="shared" ca="1" si="4"/>
        <v>4.3155011387164308E-2</v>
      </c>
      <c r="O13" s="89">
        <f t="shared" ca="1" si="5"/>
        <v>0.20313148550866544</v>
      </c>
      <c r="P13" s="89">
        <f t="shared" ca="1" si="6"/>
        <v>0.99999999999999989</v>
      </c>
      <c r="Q13" s="89">
        <f ca="1">(SUMPRODUCT(K13:O13,MMULT(K13:O13,五股收盤價與其他數據彙總!$P$9:$T$13)))</f>
        <v>5.5514675215809233E-5</v>
      </c>
      <c r="R13" s="89">
        <f ca="1">SUMPRODUCT(K13:O13,模擬股票報酬!$C$62:$G$62)</f>
        <v>3.711144755775992E-2</v>
      </c>
      <c r="S13" s="89">
        <f t="shared" ca="1" si="7"/>
        <v>0.19264331692991563</v>
      </c>
      <c r="T13" s="78">
        <f t="shared" ca="1" si="8"/>
        <v>-0.24005237275689204</v>
      </c>
    </row>
    <row r="14" spans="1:21" x14ac:dyDescent="0.4">
      <c r="B14" s="19">
        <v>13</v>
      </c>
      <c r="C14">
        <f ca="1"/>
        <v>5.7361388664224133E-2</v>
      </c>
      <c r="D14">
        <f ca="1"/>
        <v>9.3843194736107138E-2</v>
      </c>
      <c r="E14">
        <f ca="1"/>
        <v>0.70261438562667156</v>
      </c>
      <c r="F14">
        <f ca="1"/>
        <v>0.67204770275969317</v>
      </c>
      <c r="G14" s="25">
        <f ca="1"/>
        <v>0.81170374734187978</v>
      </c>
      <c r="J14" s="68">
        <v>13</v>
      </c>
      <c r="K14" s="89">
        <f t="shared" ca="1" si="1"/>
        <v>2.4538892259599997E-2</v>
      </c>
      <c r="L14" s="89">
        <f t="shared" ca="1" si="2"/>
        <v>4.0145611857584591E-2</v>
      </c>
      <c r="M14" s="89">
        <f t="shared" ca="1" si="3"/>
        <v>0.30057463932513295</v>
      </c>
      <c r="N14" s="89">
        <f t="shared" ca="1" si="4"/>
        <v>0.28749837748641011</v>
      </c>
      <c r="O14" s="89">
        <f t="shared" ca="1" si="5"/>
        <v>0.34724247907127231</v>
      </c>
      <c r="P14" s="89">
        <f t="shared" ca="1" si="6"/>
        <v>1</v>
      </c>
      <c r="Q14" s="89">
        <f ca="1">(SUMPRODUCT(K14:O14,MMULT(K14:O14,五股收盤價與其他數據彙總!$P$9:$T$13)))</f>
        <v>3.0384148057491901E-5</v>
      </c>
      <c r="R14" s="89">
        <f ca="1">SUMPRODUCT(K14:O14,模擬股票報酬!$C$62:$G$62)</f>
        <v>2.6968834331915811E-2</v>
      </c>
      <c r="S14" s="89">
        <f t="shared" ca="1" si="7"/>
        <v>0.16422190576142945</v>
      </c>
      <c r="T14" s="78">
        <f t="shared" ca="1" si="8"/>
        <v>-0.2817505718095849</v>
      </c>
    </row>
    <row r="15" spans="1:21" x14ac:dyDescent="0.4">
      <c r="B15" s="19">
        <v>14</v>
      </c>
      <c r="C15">
        <f ca="1"/>
        <v>0.34827857182065514</v>
      </c>
      <c r="D15">
        <f ca="1"/>
        <v>0.27172025400679445</v>
      </c>
      <c r="E15">
        <f ca="1"/>
        <v>0.34592554645980678</v>
      </c>
      <c r="F15">
        <f ca="1"/>
        <v>1.4037276643799057E-2</v>
      </c>
      <c r="G15" s="25">
        <f ca="1"/>
        <v>0.66542497258273792</v>
      </c>
      <c r="J15" s="68">
        <v>14</v>
      </c>
      <c r="K15" s="89">
        <f t="shared" ca="1" si="1"/>
        <v>0.21166974817154577</v>
      </c>
      <c r="L15" s="89">
        <f t="shared" ca="1" si="2"/>
        <v>0.16514067299076834</v>
      </c>
      <c r="M15" s="89">
        <f t="shared" ca="1" si="3"/>
        <v>0.2102396737257699</v>
      </c>
      <c r="N15" s="89">
        <f t="shared" ca="1" si="4"/>
        <v>8.5312937763432403E-3</v>
      </c>
      <c r="O15" s="89">
        <f t="shared" ca="1" si="5"/>
        <v>0.40441861133557272</v>
      </c>
      <c r="P15" s="89">
        <f t="shared" ca="1" si="6"/>
        <v>1</v>
      </c>
      <c r="Q15" s="89">
        <f ca="1">(SUMPRODUCT(K15:O15,MMULT(K15:O15,五股收盤價與其他數據彙總!$P$9:$T$13)))</f>
        <v>3.6861242324681844E-5</v>
      </c>
      <c r="R15" s="89">
        <f ca="1">SUMPRODUCT(K15:O15,模擬股票報酬!$C$62:$G$62)</f>
        <v>3.0866127691131458E-2</v>
      </c>
      <c r="S15" s="89">
        <f t="shared" ca="1" si="7"/>
        <v>0.17568758547811925</v>
      </c>
      <c r="T15" s="78">
        <f t="shared" ca="1" si="8"/>
        <v>-0.26332616861785657</v>
      </c>
    </row>
    <row r="16" spans="1:21" x14ac:dyDescent="0.4">
      <c r="B16" s="19">
        <v>15</v>
      </c>
      <c r="C16">
        <f ca="1"/>
        <v>0.45683871694040334</v>
      </c>
      <c r="D16">
        <f ca="1"/>
        <v>0.45242940322595881</v>
      </c>
      <c r="E16">
        <f ca="1"/>
        <v>0.91452620044917521</v>
      </c>
      <c r="F16">
        <f ca="1"/>
        <v>0.80155500469737295</v>
      </c>
      <c r="G16" s="25">
        <f ca="1"/>
        <v>0.63159183763154303</v>
      </c>
      <c r="J16" s="68">
        <v>15</v>
      </c>
      <c r="K16" s="89">
        <f t="shared" ca="1" si="1"/>
        <v>0.14026618661032123</v>
      </c>
      <c r="L16" s="89">
        <f t="shared" ca="1" si="2"/>
        <v>0.13891236611008898</v>
      </c>
      <c r="M16" s="89">
        <f t="shared" ca="1" si="3"/>
        <v>0.2807929755852247</v>
      </c>
      <c r="N16" s="89">
        <f t="shared" ca="1" si="4"/>
        <v>0.2461066886368691</v>
      </c>
      <c r="O16" s="89">
        <f t="shared" ca="1" si="5"/>
        <v>0.19392178305749599</v>
      </c>
      <c r="P16" s="89">
        <f t="shared" ca="1" si="6"/>
        <v>1</v>
      </c>
      <c r="Q16" s="89">
        <f ca="1">(SUMPRODUCT(K16:O16,MMULT(K16:O16,五股收盤價與其他數據彙總!$P$9:$T$13)))</f>
        <v>3.8583343714869066E-5</v>
      </c>
      <c r="R16" s="89">
        <f ca="1">SUMPRODUCT(K16:O16,模擬股票報酬!$C$62:$G$62)</f>
        <v>3.3721295460882289E-2</v>
      </c>
      <c r="S16" s="89">
        <f t="shared" ca="1" si="7"/>
        <v>0.18363359023033418</v>
      </c>
      <c r="T16" s="78">
        <f t="shared" ca="1" si="8"/>
        <v>-0.25192241026415041</v>
      </c>
    </row>
    <row r="17" spans="2:20" x14ac:dyDescent="0.4">
      <c r="B17" s="19">
        <v>16</v>
      </c>
      <c r="C17">
        <f ca="1"/>
        <v>0.40528706370734091</v>
      </c>
      <c r="D17">
        <f ca="1"/>
        <v>0.33855622952688291</v>
      </c>
      <c r="E17">
        <f ca="1"/>
        <v>0.82249433065598598</v>
      </c>
      <c r="F17">
        <f ca="1"/>
        <v>0.71158631965841956</v>
      </c>
      <c r="G17" s="25">
        <f ca="1"/>
        <v>0.45214169227873802</v>
      </c>
      <c r="J17" s="68">
        <v>16</v>
      </c>
      <c r="K17" s="89">
        <f t="shared" ca="1" si="1"/>
        <v>0.14845323071674632</v>
      </c>
      <c r="L17" s="89">
        <f t="shared" ca="1" si="2"/>
        <v>0.12401028938056313</v>
      </c>
      <c r="M17" s="89">
        <f t="shared" ca="1" si="3"/>
        <v>0.30127273127143067</v>
      </c>
      <c r="N17" s="89">
        <f t="shared" ca="1" si="4"/>
        <v>0.26064806293302462</v>
      </c>
      <c r="O17" s="89">
        <f t="shared" ca="1" si="5"/>
        <v>0.16561568569823523</v>
      </c>
      <c r="P17" s="89">
        <f t="shared" ca="1" si="6"/>
        <v>0.99999999999999989</v>
      </c>
      <c r="Q17" s="89">
        <f ca="1">(SUMPRODUCT(K17:O17,MMULT(K17:O17,五股收盤價與其他數據彙總!$P$9:$T$13)))</f>
        <v>3.8123568470650816E-5</v>
      </c>
      <c r="R17" s="89">
        <f ca="1">SUMPRODUCT(K17:O17,模擬股票報酬!$C$62:$G$62)</f>
        <v>3.3254823548310219E-2</v>
      </c>
      <c r="S17" s="89">
        <f t="shared" ca="1" si="7"/>
        <v>0.18235905118285251</v>
      </c>
      <c r="T17" s="78">
        <f t="shared" ca="1" si="8"/>
        <v>-0.25368566096092643</v>
      </c>
    </row>
    <row r="18" spans="2:20" x14ac:dyDescent="0.4">
      <c r="B18" s="19">
        <v>17</v>
      </c>
      <c r="C18">
        <f ca="1"/>
        <v>0.67195312637361715</v>
      </c>
      <c r="D18">
        <f ca="1"/>
        <v>0.64867741684604519</v>
      </c>
      <c r="E18">
        <f ca="1"/>
        <v>4.5455669816225397E-2</v>
      </c>
      <c r="F18">
        <f ca="1"/>
        <v>9.8971934694491726E-2</v>
      </c>
      <c r="G18" s="25">
        <f ca="1"/>
        <v>0.34635663029443475</v>
      </c>
      <c r="J18" s="68">
        <v>17</v>
      </c>
      <c r="K18" s="89">
        <f t="shared" ca="1" si="1"/>
        <v>0.37095486606679995</v>
      </c>
      <c r="L18" s="89">
        <f t="shared" ca="1" si="2"/>
        <v>0.3581054017641227</v>
      </c>
      <c r="M18" s="89">
        <f t="shared" ca="1" si="3"/>
        <v>2.5094015113308693E-2</v>
      </c>
      <c r="N18" s="89">
        <f t="shared" ca="1" si="4"/>
        <v>5.463791942915016E-2</v>
      </c>
      <c r="O18" s="89">
        <f t="shared" ca="1" si="5"/>
        <v>0.19120779762661849</v>
      </c>
      <c r="P18" s="89">
        <f t="shared" ca="1" si="6"/>
        <v>1</v>
      </c>
      <c r="Q18" s="89">
        <f ca="1">(SUMPRODUCT(K18:O18,MMULT(K18:O18,五股收盤價與其他數據彙總!$P$9:$T$13)))</f>
        <v>8.007393765506819E-5</v>
      </c>
      <c r="R18" s="89">
        <f ca="1">SUMPRODUCT(K18:O18,模擬股票報酬!$C$62:$G$62)</f>
        <v>4.1336713007027959E-2</v>
      </c>
      <c r="S18" s="89">
        <f t="shared" ca="1" si="7"/>
        <v>0.20331432071309674</v>
      </c>
      <c r="T18" s="78">
        <f t="shared" ca="1" si="8"/>
        <v>-0.22733236842458987</v>
      </c>
    </row>
    <row r="19" spans="2:20" x14ac:dyDescent="0.4">
      <c r="B19" s="19">
        <v>18</v>
      </c>
      <c r="C19">
        <f ca="1"/>
        <v>0.50569667730691936</v>
      </c>
      <c r="D19">
        <f ca="1"/>
        <v>0.26882162498434803</v>
      </c>
      <c r="E19">
        <f ca="1"/>
        <v>0.31886376876151457</v>
      </c>
      <c r="F19">
        <f ca="1"/>
        <v>0.20256422306927613</v>
      </c>
      <c r="G19" s="25">
        <f ca="1"/>
        <v>0.42527712625315739</v>
      </c>
      <c r="J19" s="68">
        <v>18</v>
      </c>
      <c r="K19" s="89">
        <f t="shared" ca="1" si="1"/>
        <v>0.29380071832666604</v>
      </c>
      <c r="L19" s="89">
        <f t="shared" ca="1" si="2"/>
        <v>0.15618055262445049</v>
      </c>
      <c r="M19" s="89">
        <f t="shared" ca="1" si="3"/>
        <v>0.18525414248198199</v>
      </c>
      <c r="N19" s="89">
        <f t="shared" ca="1" si="4"/>
        <v>0.11768618801684586</v>
      </c>
      <c r="O19" s="89">
        <f t="shared" ca="1" si="5"/>
        <v>0.24707839855005562</v>
      </c>
      <c r="P19" s="89">
        <f t="shared" ca="1" si="6"/>
        <v>1</v>
      </c>
      <c r="Q19" s="89">
        <f ca="1">(SUMPRODUCT(K19:O19,MMULT(K19:O19,五股收盤價與其他數據彙總!$P$9:$T$13)))</f>
        <v>3.8649230918575455E-5</v>
      </c>
      <c r="R19" s="89">
        <f ca="1">SUMPRODUCT(K19:O19,模擬股票報酬!$C$62:$G$62)</f>
        <v>3.0447558953868605E-2</v>
      </c>
      <c r="S19" s="89">
        <f t="shared" ca="1" si="7"/>
        <v>0.17449228909573228</v>
      </c>
      <c r="T19" s="78">
        <f t="shared" ca="1" si="8"/>
        <v>-0.26511974259046428</v>
      </c>
    </row>
    <row r="20" spans="2:20" x14ac:dyDescent="0.4">
      <c r="B20" s="19">
        <v>19</v>
      </c>
      <c r="C20">
        <f ca="1"/>
        <v>0.74112669198705916</v>
      </c>
      <c r="D20">
        <f ca="1"/>
        <v>4.0471833229511534E-2</v>
      </c>
      <c r="E20">
        <f ca="1"/>
        <v>0.52273650982944875</v>
      </c>
      <c r="F20">
        <f ca="1"/>
        <v>0.34616240272066845</v>
      </c>
      <c r="G20" s="25">
        <f ca="1"/>
        <v>0.2635446372143937</v>
      </c>
      <c r="J20" s="68">
        <v>19</v>
      </c>
      <c r="K20" s="89">
        <f t="shared" ca="1" si="1"/>
        <v>0.38720501585336597</v>
      </c>
      <c r="L20" s="89">
        <f t="shared" ca="1" si="2"/>
        <v>2.1144693608635304E-2</v>
      </c>
      <c r="M20" s="89">
        <f t="shared" ca="1" si="3"/>
        <v>0.27310607047894464</v>
      </c>
      <c r="N20" s="89">
        <f t="shared" ca="1" si="4"/>
        <v>0.18085412397430706</v>
      </c>
      <c r="O20" s="89">
        <f t="shared" ca="1" si="5"/>
        <v>0.13769009608474703</v>
      </c>
      <c r="P20" s="89">
        <f t="shared" ca="1" si="6"/>
        <v>1</v>
      </c>
      <c r="Q20" s="89">
        <f ca="1">(SUMPRODUCT(K20:O20,MMULT(K20:O20,五股收盤價與其他數據彙總!$P$9:$T$13)))</f>
        <v>3.2280834521318012E-5</v>
      </c>
      <c r="R20" s="89">
        <f ca="1">SUMPRODUCT(K20:O20,模擬股票報酬!$C$62:$G$62)</f>
        <v>2.2482713880592992E-2</v>
      </c>
      <c r="S20" s="89">
        <f t="shared" ca="1" si="7"/>
        <v>0.14994236853068912</v>
      </c>
      <c r="T20" s="78">
        <f t="shared" ca="1" si="8"/>
        <v>-0.308570016726186</v>
      </c>
    </row>
    <row r="21" spans="2:20" x14ac:dyDescent="0.4">
      <c r="B21" s="19">
        <v>20</v>
      </c>
      <c r="C21">
        <f ca="1"/>
        <v>4.6895650416411971E-3</v>
      </c>
      <c r="D21">
        <f ca="1"/>
        <v>0.16185946286504449</v>
      </c>
      <c r="E21">
        <f ca="1"/>
        <v>0.2009116250787526</v>
      </c>
      <c r="F21">
        <f ca="1"/>
        <v>2.4429900691368855E-2</v>
      </c>
      <c r="G21" s="25">
        <f ca="1"/>
        <v>0.11800538347643297</v>
      </c>
      <c r="J21" s="68">
        <v>20</v>
      </c>
      <c r="K21" s="89">
        <f t="shared" ca="1" si="1"/>
        <v>9.1971021927006093E-3</v>
      </c>
      <c r="L21" s="89">
        <f t="shared" ca="1" si="2"/>
        <v>0.31743626703266026</v>
      </c>
      <c r="M21" s="89">
        <f t="shared" ca="1" si="3"/>
        <v>0.39402476160223299</v>
      </c>
      <c r="N21" s="89">
        <f t="shared" ca="1" si="4"/>
        <v>4.791154216242928E-2</v>
      </c>
      <c r="O21" s="89">
        <f t="shared" ca="1" si="5"/>
        <v>0.23143032700997687</v>
      </c>
      <c r="P21" s="89">
        <f t="shared" ca="1" si="6"/>
        <v>1</v>
      </c>
      <c r="Q21" s="89">
        <f ca="1">(SUMPRODUCT(K21:O21,MMULT(K21:O21,五股收盤價與其他數據彙總!$P$9:$T$13)))</f>
        <v>7.0498973404657783E-5</v>
      </c>
      <c r="R21" s="89">
        <f ca="1">SUMPRODUCT(K21:O21,模擬股票報酬!$C$62:$G$62)</f>
        <v>4.975600415547822E-2</v>
      </c>
      <c r="S21" s="89">
        <f t="shared" ca="1" si="7"/>
        <v>0.22306053921632624</v>
      </c>
      <c r="T21" s="78">
        <f t="shared" ca="1" si="8"/>
        <v>-0.20725091577834631</v>
      </c>
    </row>
    <row r="22" spans="2:20" x14ac:dyDescent="0.4">
      <c r="B22" s="19">
        <v>21</v>
      </c>
      <c r="C22">
        <f ca="1"/>
        <v>0.39921106395681649</v>
      </c>
      <c r="D22">
        <f ca="1"/>
        <v>0.62122502498484122</v>
      </c>
      <c r="E22">
        <f ca="1"/>
        <v>0.23627634023598243</v>
      </c>
      <c r="F22">
        <f ca="1"/>
        <v>0.40747907762734736</v>
      </c>
      <c r="G22" s="25">
        <f ca="1"/>
        <v>0.83558535199442718</v>
      </c>
      <c r="J22" s="68">
        <v>21</v>
      </c>
      <c r="K22" s="89">
        <f t="shared" ca="1" si="1"/>
        <v>0.15969867972477689</v>
      </c>
      <c r="L22" s="89">
        <f t="shared" ca="1" si="2"/>
        <v>0.24851219131742877</v>
      </c>
      <c r="M22" s="89">
        <f t="shared" ca="1" si="3"/>
        <v>9.4518972525195921E-2</v>
      </c>
      <c r="N22" s="89">
        <f t="shared" ca="1" si="4"/>
        <v>0.16300618040885867</v>
      </c>
      <c r="O22" s="89">
        <f t="shared" ca="1" si="5"/>
        <v>0.33426397602373986</v>
      </c>
      <c r="P22" s="89">
        <f t="shared" ca="1" si="6"/>
        <v>1</v>
      </c>
      <c r="Q22" s="89">
        <f ca="1">(SUMPRODUCT(K22:O22,MMULT(K22:O22,五股收盤價與其他數據彙總!$P$9:$T$13)))</f>
        <v>4.8760147058510498E-5</v>
      </c>
      <c r="R22" s="89">
        <f ca="1">SUMPRODUCT(K22:O22,模擬股票報酬!$C$62:$G$62)</f>
        <v>3.6174572638765674E-2</v>
      </c>
      <c r="S22" s="89">
        <f t="shared" ca="1" si="7"/>
        <v>0.19019614254438935</v>
      </c>
      <c r="T22" s="78">
        <f t="shared" ca="1" si="8"/>
        <v>-0.24317653993506749</v>
      </c>
    </row>
    <row r="23" spans="2:20" x14ac:dyDescent="0.4">
      <c r="B23" s="19">
        <v>22</v>
      </c>
      <c r="C23">
        <f ca="1"/>
        <v>0.16239705591841735</v>
      </c>
      <c r="D23">
        <f ca="1"/>
        <v>0.22607324193714029</v>
      </c>
      <c r="E23">
        <f ca="1"/>
        <v>9.6377556899794214E-2</v>
      </c>
      <c r="F23">
        <f ca="1"/>
        <v>0.35347781751325003</v>
      </c>
      <c r="G23" s="25">
        <f ca="1"/>
        <v>0.3435894588763575</v>
      </c>
      <c r="J23" s="68">
        <v>22</v>
      </c>
      <c r="K23" s="89">
        <f t="shared" ca="1" si="1"/>
        <v>0.1374016218584985</v>
      </c>
      <c r="L23" s="89">
        <f t="shared" ca="1" si="2"/>
        <v>0.19127705194715278</v>
      </c>
      <c r="M23" s="89">
        <f t="shared" ca="1" si="3"/>
        <v>8.1543551106271192E-2</v>
      </c>
      <c r="N23" s="89">
        <f t="shared" ca="1" si="4"/>
        <v>0.29907208072615554</v>
      </c>
      <c r="O23" s="89">
        <f t="shared" ca="1" si="5"/>
        <v>0.29070569436192201</v>
      </c>
      <c r="P23" s="89">
        <f t="shared" ca="1" si="6"/>
        <v>1</v>
      </c>
      <c r="Q23" s="89">
        <f ca="1">(SUMPRODUCT(K23:O23,MMULT(K23:O23,五股收盤價與其他數據彙總!$P$9:$T$13)))</f>
        <v>4.130007250881872E-5</v>
      </c>
      <c r="R23" s="89">
        <f ca="1">SUMPRODUCT(K23:O23,模擬股票報酬!$C$62:$G$62)</f>
        <v>3.2718663649995462E-2</v>
      </c>
      <c r="S23" s="89">
        <f t="shared" ca="1" si="7"/>
        <v>0.18088301094905365</v>
      </c>
      <c r="T23" s="78">
        <f t="shared" ca="1" si="8"/>
        <v>-0.25573822375457977</v>
      </c>
    </row>
    <row r="24" spans="2:20" x14ac:dyDescent="0.4">
      <c r="B24" s="19">
        <v>23</v>
      </c>
      <c r="C24">
        <f ca="1"/>
        <v>0.33981332457468039</v>
      </c>
      <c r="D24">
        <f ca="1"/>
        <v>0.83918379215209593</v>
      </c>
      <c r="E24">
        <f ca="1"/>
        <v>0.45251826936937878</v>
      </c>
      <c r="F24">
        <f ca="1"/>
        <v>0.71400528021720122</v>
      </c>
      <c r="G24" s="25">
        <f ca="1"/>
        <v>0.50884522340439742</v>
      </c>
      <c r="J24" s="68">
        <v>23</v>
      </c>
      <c r="K24" s="89">
        <f t="shared" ca="1" si="1"/>
        <v>0.11905037325410373</v>
      </c>
      <c r="L24" s="89">
        <f t="shared" ca="1" si="2"/>
        <v>0.29400007727638466</v>
      </c>
      <c r="M24" s="89">
        <f t="shared" ca="1" si="3"/>
        <v>0.15853548103257528</v>
      </c>
      <c r="N24" s="89">
        <f t="shared" ca="1" si="4"/>
        <v>0.25014497363118499</v>
      </c>
      <c r="O24" s="89">
        <f t="shared" ca="1" si="5"/>
        <v>0.17826909480575151</v>
      </c>
      <c r="P24" s="89">
        <f t="shared" ca="1" si="6"/>
        <v>1.0000000000000002</v>
      </c>
      <c r="Q24" s="89">
        <f ca="1">(SUMPRODUCT(K24:O24,MMULT(K24:O24,五股收盤價與其他數據彙總!$P$9:$T$13)))</f>
        <v>6.3110826706088674E-5</v>
      </c>
      <c r="R24" s="89">
        <f ca="1">SUMPRODUCT(K24:O24,模擬股票報酬!$C$62:$G$62)</f>
        <v>4.2907714770584561E-2</v>
      </c>
      <c r="S24" s="89">
        <f t="shared" ca="1" si="7"/>
        <v>0.20714177456656241</v>
      </c>
      <c r="T24" s="78">
        <f t="shared" ca="1" si="8"/>
        <v>-0.22321373498920308</v>
      </c>
    </row>
    <row r="25" spans="2:20" x14ac:dyDescent="0.4">
      <c r="B25" s="19">
        <v>24</v>
      </c>
      <c r="C25">
        <f ca="1"/>
        <v>0.67251164957858589</v>
      </c>
      <c r="D25">
        <f ca="1"/>
        <v>0.86872807462712842</v>
      </c>
      <c r="E25">
        <f ca="1"/>
        <v>0.92613452365528004</v>
      </c>
      <c r="F25">
        <f ca="1"/>
        <v>0.44260849093286536</v>
      </c>
      <c r="G25" s="25">
        <f ca="1"/>
        <v>0.11276239769202245</v>
      </c>
      <c r="J25" s="68">
        <v>24</v>
      </c>
      <c r="K25" s="89">
        <f t="shared" ca="1" si="1"/>
        <v>0.22248374216571232</v>
      </c>
      <c r="L25" s="89">
        <f t="shared" ca="1" si="2"/>
        <v>0.28739706306734003</v>
      </c>
      <c r="M25" s="89">
        <f t="shared" ca="1" si="3"/>
        <v>0.30638855802840381</v>
      </c>
      <c r="N25" s="89">
        <f t="shared" ca="1" si="4"/>
        <v>0.14642600383022156</v>
      </c>
      <c r="O25" s="89">
        <f t="shared" ca="1" si="5"/>
        <v>3.730463290832231E-2</v>
      </c>
      <c r="P25" s="89">
        <f t="shared" ca="1" si="6"/>
        <v>1</v>
      </c>
      <c r="Q25" s="89">
        <f ca="1">(SUMPRODUCT(K25:O25,MMULT(K25:O25,五股收盤價與其他數據彙總!$P$9:$T$13)))</f>
        <v>6.8933714991010949E-5</v>
      </c>
      <c r="R25" s="89">
        <f ca="1">SUMPRODUCT(K25:O25,模擬股票報酬!$C$62:$G$62)</f>
        <v>4.5307259802017816E-2</v>
      </c>
      <c r="S25" s="89">
        <f t="shared" ca="1" si="7"/>
        <v>0.2128550206173625</v>
      </c>
      <c r="T25" s="78">
        <f t="shared" ca="1" si="8"/>
        <v>-0.21719509434600548</v>
      </c>
    </row>
    <row r="26" spans="2:20" x14ac:dyDescent="0.4">
      <c r="B26" s="19">
        <v>25</v>
      </c>
      <c r="C26">
        <f ca="1"/>
        <v>0.40321362477731215</v>
      </c>
      <c r="D26">
        <f ca="1"/>
        <v>0.78379423064785336</v>
      </c>
      <c r="E26">
        <f ca="1"/>
        <v>3.2114157777224595E-2</v>
      </c>
      <c r="F26">
        <f ca="1"/>
        <v>0.79281261745174403</v>
      </c>
      <c r="G26" s="25">
        <f ca="1"/>
        <v>0.39756933729195176</v>
      </c>
      <c r="J26" s="68">
        <v>25</v>
      </c>
      <c r="K26" s="89">
        <f t="shared" ca="1" si="1"/>
        <v>0.16734300094181637</v>
      </c>
      <c r="L26" s="89">
        <f t="shared" ca="1" si="2"/>
        <v>0.32529277439454762</v>
      </c>
      <c r="M26" s="89">
        <f t="shared" ca="1" si="3"/>
        <v>1.3328119897058899E-2</v>
      </c>
      <c r="N26" s="89">
        <f t="shared" ca="1" si="4"/>
        <v>0.32903561396811265</v>
      </c>
      <c r="O26" s="89">
        <f t="shared" ca="1" si="5"/>
        <v>0.16500049079846446</v>
      </c>
      <c r="P26" s="89">
        <f t="shared" ca="1" si="6"/>
        <v>1</v>
      </c>
      <c r="Q26" s="89">
        <f ca="1">(SUMPRODUCT(K26:O26,MMULT(K26:O26,五股收盤價與其他數據彙總!$P$9:$T$13)))</f>
        <v>6.971441141975756E-5</v>
      </c>
      <c r="R26" s="89">
        <f ca="1">SUMPRODUCT(K26:O26,模擬股票報酬!$C$62:$G$62)</f>
        <v>4.195528705130399E-2</v>
      </c>
      <c r="S26" s="89">
        <f t="shared" ca="1" si="7"/>
        <v>0.20482989784527059</v>
      </c>
      <c r="T26" s="78">
        <f t="shared" ca="1" si="8"/>
        <v>-0.22570086728014094</v>
      </c>
    </row>
    <row r="27" spans="2:20" x14ac:dyDescent="0.4">
      <c r="B27" s="19">
        <v>26</v>
      </c>
      <c r="C27">
        <f ca="1"/>
        <v>0.64105149745465084</v>
      </c>
      <c r="D27">
        <f ca="1"/>
        <v>0.19382787300141935</v>
      </c>
      <c r="E27">
        <f ca="1"/>
        <v>0.96131588947152813</v>
      </c>
      <c r="F27">
        <f ca="1"/>
        <v>0.4444564119144665</v>
      </c>
      <c r="G27" s="25">
        <f ca="1"/>
        <v>1.7965375117439786E-2</v>
      </c>
      <c r="J27" s="68">
        <v>26</v>
      </c>
      <c r="K27" s="89">
        <f t="shared" ca="1" si="1"/>
        <v>0.28382478486896162</v>
      </c>
      <c r="L27" s="89">
        <f t="shared" ca="1" si="2"/>
        <v>8.5817059276314986E-2</v>
      </c>
      <c r="M27" s="89">
        <f t="shared" ca="1" si="3"/>
        <v>0.42562146193203854</v>
      </c>
      <c r="N27" s="89">
        <f t="shared" ca="1" si="4"/>
        <v>0.19678254554608224</v>
      </c>
      <c r="O27" s="89">
        <f t="shared" ca="1" si="5"/>
        <v>7.9541483766025472E-3</v>
      </c>
      <c r="P27" s="89">
        <f t="shared" ca="1" si="6"/>
        <v>0.99999999999999989</v>
      </c>
      <c r="Q27" s="89">
        <f ca="1">(SUMPRODUCT(K27:O27,MMULT(K27:O27,五股收盤價與其他數據彙總!$P$9:$T$13)))</f>
        <v>4.0803932833735233E-5</v>
      </c>
      <c r="R27" s="89">
        <f ca="1">SUMPRODUCT(K27:O27,模擬股票報酬!$C$62:$G$62)</f>
        <v>3.2747865009308971E-2</v>
      </c>
      <c r="S27" s="89">
        <f t="shared" ca="1" si="7"/>
        <v>0.18096371185767873</v>
      </c>
      <c r="T27" s="78">
        <f t="shared" ca="1" si="8"/>
        <v>-0.25562691874682264</v>
      </c>
    </row>
    <row r="28" spans="2:20" x14ac:dyDescent="0.4">
      <c r="B28" s="19">
        <v>27</v>
      </c>
      <c r="C28">
        <f ca="1"/>
        <v>0.71556569135517711</v>
      </c>
      <c r="D28">
        <f ca="1"/>
        <v>1.1656579153729529E-2</v>
      </c>
      <c r="E28">
        <f ca="1"/>
        <v>0.12268839070935389</v>
      </c>
      <c r="F28">
        <f ca="1"/>
        <v>0.3020143844838199</v>
      </c>
      <c r="G28" s="25">
        <f ca="1"/>
        <v>0.53598779127574048</v>
      </c>
      <c r="J28" s="68">
        <v>27</v>
      </c>
      <c r="K28" s="89">
        <f t="shared" ca="1" si="1"/>
        <v>0.42393521494651659</v>
      </c>
      <c r="L28" s="89">
        <f t="shared" ca="1" si="2"/>
        <v>6.905912970364296E-3</v>
      </c>
      <c r="M28" s="89">
        <f t="shared" ca="1" si="3"/>
        <v>7.2686449217973459E-2</v>
      </c>
      <c r="N28" s="89">
        <f t="shared" ca="1" si="4"/>
        <v>0.17892771348582875</v>
      </c>
      <c r="O28" s="89">
        <f t="shared" ca="1" si="5"/>
        <v>0.31754470937931689</v>
      </c>
      <c r="P28" s="89">
        <f t="shared" ca="1" si="6"/>
        <v>1</v>
      </c>
      <c r="Q28" s="89">
        <f ca="1">(SUMPRODUCT(K28:O28,MMULT(K28:O28,五股收盤價與其他數據彙總!$P$9:$T$13)))</f>
        <v>3.0163616940159762E-5</v>
      </c>
      <c r="R28" s="89">
        <f ca="1">SUMPRODUCT(K28:O28,模擬股票報酬!$C$62:$G$62)</f>
        <v>1.5254977390418697E-2</v>
      </c>
      <c r="S28" s="89">
        <f t="shared" ca="1" si="7"/>
        <v>0.12351104157288408</v>
      </c>
      <c r="T28" s="78">
        <f t="shared" ca="1" si="8"/>
        <v>-0.37462105244862609</v>
      </c>
    </row>
    <row r="29" spans="2:20" x14ac:dyDescent="0.4">
      <c r="B29" s="19">
        <v>28</v>
      </c>
      <c r="C29">
        <f ca="1"/>
        <v>0.68952376194344556</v>
      </c>
      <c r="D29">
        <f ca="1"/>
        <v>0.35048269009889177</v>
      </c>
      <c r="E29">
        <f ca="1"/>
        <v>0.10604513153102335</v>
      </c>
      <c r="F29">
        <f ca="1"/>
        <v>2.2089035538654045E-2</v>
      </c>
      <c r="G29" s="25">
        <f ca="1"/>
        <v>0.42382223466006552</v>
      </c>
      <c r="J29" s="68">
        <v>28</v>
      </c>
      <c r="K29" s="89">
        <f t="shared" ca="1" si="1"/>
        <v>0.43312804712098135</v>
      </c>
      <c r="L29" s="89">
        <f t="shared" ca="1" si="2"/>
        <v>0.22015758047899153</v>
      </c>
      <c r="M29" s="89">
        <f t="shared" ca="1" si="3"/>
        <v>6.6612817805236132E-2</v>
      </c>
      <c r="N29" s="89">
        <f t="shared" ca="1" si="4"/>
        <v>1.3875346077526322E-2</v>
      </c>
      <c r="O29" s="89">
        <f t="shared" ca="1" si="5"/>
        <v>0.26622620851726464</v>
      </c>
      <c r="P29" s="89">
        <f t="shared" ca="1" si="6"/>
        <v>0.99999999999999989</v>
      </c>
      <c r="Q29" s="89">
        <f ca="1">(SUMPRODUCT(K29:O29,MMULT(K29:O29,五股收盤價與其他數據彙總!$P$9:$T$13)))</f>
        <v>5.17494998525806E-5</v>
      </c>
      <c r="R29" s="89">
        <f ca="1">SUMPRODUCT(K29:O29,模擬股票報酬!$C$62:$G$62)</f>
        <v>3.0636364355696801E-2</v>
      </c>
      <c r="S29" s="89">
        <f t="shared" ca="1" si="7"/>
        <v>0.17503246657605212</v>
      </c>
      <c r="T29" s="78">
        <f t="shared" ca="1" si="8"/>
        <v>-0.26422669693712181</v>
      </c>
    </row>
    <row r="30" spans="2:20" x14ac:dyDescent="0.4">
      <c r="B30" s="19">
        <v>29</v>
      </c>
      <c r="C30">
        <f ca="1"/>
        <v>0.48141800698583537</v>
      </c>
      <c r="D30">
        <f ca="1"/>
        <v>0.31890468674438699</v>
      </c>
      <c r="E30">
        <f ca="1"/>
        <v>0.61584572448909269</v>
      </c>
      <c r="F30">
        <f ca="1"/>
        <v>0.91645015829821785</v>
      </c>
      <c r="G30" s="25">
        <f ca="1"/>
        <v>0.12191825840850523</v>
      </c>
      <c r="J30" s="68">
        <v>29</v>
      </c>
      <c r="K30" s="89">
        <f t="shared" ca="1" si="1"/>
        <v>0.19613395086830782</v>
      </c>
      <c r="L30" s="89">
        <f t="shared" ca="1" si="2"/>
        <v>0.12992458789236155</v>
      </c>
      <c r="M30" s="89">
        <f t="shared" ca="1" si="3"/>
        <v>0.25090099106524505</v>
      </c>
      <c r="N30" s="89">
        <f t="shared" ca="1" si="4"/>
        <v>0.37336989417224736</v>
      </c>
      <c r="O30" s="89">
        <f t="shared" ca="1" si="5"/>
        <v>4.9670576001838232E-2</v>
      </c>
      <c r="P30" s="89">
        <f t="shared" ca="1" si="6"/>
        <v>1.0000000000000002</v>
      </c>
      <c r="Q30" s="89">
        <f ca="1">(SUMPRODUCT(K30:O30,MMULT(K30:O30,五股收盤價與其他數據彙總!$P$9:$T$13)))</f>
        <v>4.3664094573263826E-5</v>
      </c>
      <c r="R30" s="89">
        <f ca="1">SUMPRODUCT(K30:O30,模擬股票報酬!$C$62:$G$62)</f>
        <v>3.342751900804878E-2</v>
      </c>
      <c r="S30" s="89">
        <f t="shared" ca="1" si="7"/>
        <v>0.18283194197964639</v>
      </c>
      <c r="T30" s="78">
        <f t="shared" ca="1" si="8"/>
        <v>-0.25299920464978809</v>
      </c>
    </row>
    <row r="31" spans="2:20" x14ac:dyDescent="0.4">
      <c r="B31" s="19">
        <v>30</v>
      </c>
      <c r="C31">
        <f ca="1"/>
        <v>0.8079721856626727</v>
      </c>
      <c r="D31">
        <f ca="1"/>
        <v>0.74016102995806765</v>
      </c>
      <c r="E31">
        <f ca="1"/>
        <v>0.81152387252583025</v>
      </c>
      <c r="F31">
        <f ca="1"/>
        <v>0.44081344433353786</v>
      </c>
      <c r="G31" s="25">
        <f ca="1"/>
        <v>0.4143642627015558</v>
      </c>
      <c r="J31" s="68">
        <v>30</v>
      </c>
      <c r="K31" s="89">
        <f t="shared" ca="1" si="1"/>
        <v>0.25132619158957925</v>
      </c>
      <c r="L31" s="89">
        <f t="shared" ca="1" si="2"/>
        <v>0.23023299084214452</v>
      </c>
      <c r="M31" s="89">
        <f t="shared" ca="1" si="3"/>
        <v>0.25243097211157706</v>
      </c>
      <c r="N31" s="89">
        <f t="shared" ca="1" si="4"/>
        <v>0.13711853716222713</v>
      </c>
      <c r="O31" s="89">
        <f t="shared" ca="1" si="5"/>
        <v>0.12889130829447204</v>
      </c>
      <c r="P31" s="89">
        <f t="shared" ca="1" si="6"/>
        <v>1</v>
      </c>
      <c r="Q31" s="89">
        <f ca="1">(SUMPRODUCT(K31:O31,MMULT(K31:O31,五股收盤價與其他數據彙總!$P$9:$T$13)))</f>
        <v>5.3169864148390559E-5</v>
      </c>
      <c r="R31" s="89">
        <f ca="1">SUMPRODUCT(K31:O31,模擬股票報酬!$C$62:$G$62)</f>
        <v>3.8840935226863854E-2</v>
      </c>
      <c r="S31" s="89">
        <f t="shared" ca="1" si="7"/>
        <v>0.19708103720770259</v>
      </c>
      <c r="T31" s="78">
        <f t="shared" ca="1" si="8"/>
        <v>-0.23465895446405804</v>
      </c>
    </row>
    <row r="32" spans="2:20" x14ac:dyDescent="0.4">
      <c r="B32" s="19">
        <v>31</v>
      </c>
      <c r="C32">
        <f ca="1"/>
        <v>0.65721519410510409</v>
      </c>
      <c r="D32">
        <f ca="1"/>
        <v>0.52833731536848938</v>
      </c>
      <c r="E32">
        <f ca="1"/>
        <v>0.75095552859639603</v>
      </c>
      <c r="F32">
        <f ca="1"/>
        <v>0.1336616707068945</v>
      </c>
      <c r="G32" s="25">
        <f ca="1"/>
        <v>0.99253362328094941</v>
      </c>
      <c r="J32" s="68">
        <v>31</v>
      </c>
      <c r="K32" s="89">
        <f t="shared" ca="1" si="1"/>
        <v>0.21458663241258844</v>
      </c>
      <c r="L32" s="89">
        <f t="shared" ca="1" si="2"/>
        <v>0.17250685361467868</v>
      </c>
      <c r="M32" s="89">
        <f t="shared" ca="1" si="3"/>
        <v>0.24519368909682421</v>
      </c>
      <c r="N32" s="89">
        <f t="shared" ca="1" si="4"/>
        <v>4.3641729614434147E-2</v>
      </c>
      <c r="O32" s="89">
        <f t="shared" ca="1" si="5"/>
        <v>0.32407109526147443</v>
      </c>
      <c r="P32" s="89">
        <f t="shared" ca="1" si="6"/>
        <v>0.99999999999999978</v>
      </c>
      <c r="Q32" s="89">
        <f ca="1">(SUMPRODUCT(K32:O32,MMULT(K32:O32,五股收盤價與其他數據彙總!$P$9:$T$13)))</f>
        <v>3.8789735963611767E-5</v>
      </c>
      <c r="R32" s="89">
        <f ca="1">SUMPRODUCT(K32:O32,模擬股票報酬!$C$62:$G$62)</f>
        <v>3.2905070841262707E-2</v>
      </c>
      <c r="S32" s="89">
        <f t="shared" ca="1" si="7"/>
        <v>0.18139754916002229</v>
      </c>
      <c r="T32" s="78">
        <f t="shared" ca="1" si="8"/>
        <v>-0.2550266554220445</v>
      </c>
    </row>
    <row r="33" spans="2:20" x14ac:dyDescent="0.4">
      <c r="B33" s="19">
        <v>32</v>
      </c>
      <c r="C33">
        <f ca="1"/>
        <v>0.53489579936955201</v>
      </c>
      <c r="D33">
        <f ca="1"/>
        <v>0.27995572612022812</v>
      </c>
      <c r="E33">
        <f ca="1"/>
        <v>0.51652026204786639</v>
      </c>
      <c r="F33">
        <f ca="1"/>
        <v>0.6731731619607455</v>
      </c>
      <c r="G33" s="25">
        <f ca="1"/>
        <v>0.40381659328053221</v>
      </c>
      <c r="J33" s="68">
        <v>32</v>
      </c>
      <c r="K33" s="89">
        <f t="shared" ca="1" si="1"/>
        <v>0.22209946051220966</v>
      </c>
      <c r="L33" s="89">
        <f t="shared" ca="1" si="2"/>
        <v>0.1162432305729301</v>
      </c>
      <c r="M33" s="89">
        <f t="shared" ca="1" si="3"/>
        <v>0.21446956898833042</v>
      </c>
      <c r="N33" s="89">
        <f t="shared" ca="1" si="4"/>
        <v>0.27951499390909329</v>
      </c>
      <c r="O33" s="89">
        <f t="shared" ca="1" si="5"/>
        <v>0.16767274601743654</v>
      </c>
      <c r="P33" s="89">
        <f t="shared" ca="1" si="6"/>
        <v>1</v>
      </c>
      <c r="Q33" s="89">
        <f ca="1">(SUMPRODUCT(K33:O33,MMULT(K33:O33,五股收盤價與其他數據彙總!$P$9:$T$13)))</f>
        <v>3.6416851005801301E-5</v>
      </c>
      <c r="R33" s="89">
        <f ca="1">SUMPRODUCT(K33:O33,模擬股票報酬!$C$62:$G$62)</f>
        <v>3.007954791679239E-2</v>
      </c>
      <c r="S33" s="89">
        <f t="shared" ca="1" si="7"/>
        <v>0.17343456378932195</v>
      </c>
      <c r="T33" s="78">
        <f t="shared" ca="1" si="8"/>
        <v>-0.26674949985858915</v>
      </c>
    </row>
    <row r="34" spans="2:20" x14ac:dyDescent="0.4">
      <c r="B34" s="19">
        <v>33</v>
      </c>
      <c r="C34">
        <f ca="1"/>
        <v>0.79070937494934079</v>
      </c>
      <c r="D34">
        <f ca="1"/>
        <v>0.9364094092491182</v>
      </c>
      <c r="E34">
        <f ca="1"/>
        <v>0.72692501945751653</v>
      </c>
      <c r="F34">
        <f ca="1"/>
        <v>0.71318944114150273</v>
      </c>
      <c r="G34" s="25">
        <f ca="1"/>
        <v>0.34318782718365215</v>
      </c>
      <c r="J34" s="68">
        <v>33</v>
      </c>
      <c r="K34" s="89">
        <f t="shared" ca="1" si="1"/>
        <v>0.22524630485513195</v>
      </c>
      <c r="L34" s="89">
        <f t="shared" ca="1" si="2"/>
        <v>0.2667513070506522</v>
      </c>
      <c r="M34" s="89">
        <f t="shared" ca="1" si="3"/>
        <v>0.20707630354078047</v>
      </c>
      <c r="N34" s="89">
        <f t="shared" ca="1" si="4"/>
        <v>0.20316350275866174</v>
      </c>
      <c r="O34" s="89">
        <f t="shared" ca="1" si="5"/>
        <v>9.7762581794773623E-2</v>
      </c>
      <c r="P34" s="89">
        <f t="shared" ca="1" si="6"/>
        <v>1</v>
      </c>
      <c r="Q34" s="89">
        <f ca="1">(SUMPRODUCT(K34:O34,MMULT(K34:O34,五股收盤價與其他數據彙總!$P$9:$T$13)))</f>
        <v>6.0954578019444679E-5</v>
      </c>
      <c r="R34" s="89">
        <f ca="1">SUMPRODUCT(K34:O34,模擬股票報酬!$C$62:$G$62)</f>
        <v>4.1313860885642706E-2</v>
      </c>
      <c r="S34" s="89">
        <f t="shared" ca="1" si="7"/>
        <v>0.20325811394786361</v>
      </c>
      <c r="T34" s="78">
        <f t="shared" ca="1" si="8"/>
        <v>-0.22748929685454536</v>
      </c>
    </row>
    <row r="35" spans="2:20" x14ac:dyDescent="0.4">
      <c r="B35" s="19">
        <v>34</v>
      </c>
      <c r="C35">
        <f ca="1"/>
        <v>0.61503126164240274</v>
      </c>
      <c r="D35">
        <f ca="1"/>
        <v>0.81397191141072445</v>
      </c>
      <c r="E35">
        <f ca="1"/>
        <v>0.33503112570179883</v>
      </c>
      <c r="F35">
        <f ca="1"/>
        <v>0.22338198979643287</v>
      </c>
      <c r="G35" s="25">
        <f ca="1"/>
        <v>0.53990300642019462</v>
      </c>
      <c r="J35" s="68">
        <v>34</v>
      </c>
      <c r="K35" s="89">
        <f t="shared" ca="1" si="1"/>
        <v>0.24335320941287134</v>
      </c>
      <c r="L35" s="89">
        <f t="shared" ca="1" si="2"/>
        <v>0.32206928227479314</v>
      </c>
      <c r="M35" s="89">
        <f t="shared" ca="1" si="3"/>
        <v>0.13256383012957207</v>
      </c>
      <c r="N35" s="89">
        <f t="shared" ca="1" si="4"/>
        <v>8.8386928490152325E-2</v>
      </c>
      <c r="O35" s="89">
        <f t="shared" ca="1" si="5"/>
        <v>0.2136267496926112</v>
      </c>
      <c r="P35" s="89">
        <f t="shared" ca="1" si="6"/>
        <v>1</v>
      </c>
      <c r="Q35" s="89">
        <f ca="1">(SUMPRODUCT(K35:O35,MMULT(K35:O35,五股收盤價與其他數據彙總!$P$9:$T$13)))</f>
        <v>6.7860485969009436E-5</v>
      </c>
      <c r="R35" s="89">
        <f ca="1">SUMPRODUCT(K35:O35,模擬股票報酬!$C$62:$G$62)</f>
        <v>4.2271463032414192E-2</v>
      </c>
      <c r="S35" s="89">
        <f t="shared" ca="1" si="7"/>
        <v>0.20560025056505693</v>
      </c>
      <c r="T35" s="78">
        <f t="shared" ca="1" si="8"/>
        <v>-0.22486421775737095</v>
      </c>
    </row>
    <row r="36" spans="2:20" x14ac:dyDescent="0.4">
      <c r="B36" s="19">
        <v>35</v>
      </c>
      <c r="C36">
        <f ca="1"/>
        <v>0.24515269126095296</v>
      </c>
      <c r="D36">
        <f ca="1"/>
        <v>0.54738723885973317</v>
      </c>
      <c r="E36">
        <f ca="1"/>
        <v>0.1497314889434973</v>
      </c>
      <c r="F36">
        <f ca="1"/>
        <v>0.4949058855109878</v>
      </c>
      <c r="G36" s="25">
        <f ca="1"/>
        <v>0.7188646800458256</v>
      </c>
      <c r="J36" s="68">
        <v>35</v>
      </c>
      <c r="K36" s="89">
        <f t="shared" ca="1" si="1"/>
        <v>0.11370497096513986</v>
      </c>
      <c r="L36" s="89">
        <f t="shared" ca="1" si="2"/>
        <v>0.25388524099448673</v>
      </c>
      <c r="M36" s="89">
        <f t="shared" ca="1" si="3"/>
        <v>6.9447390176781781E-2</v>
      </c>
      <c r="N36" s="89">
        <f t="shared" ca="1" si="4"/>
        <v>0.22954371438086146</v>
      </c>
      <c r="O36" s="89">
        <f t="shared" ca="1" si="5"/>
        <v>0.33341868348273018</v>
      </c>
      <c r="P36" s="89">
        <f t="shared" ca="1" si="6"/>
        <v>1</v>
      </c>
      <c r="Q36" s="89">
        <f ca="1">(SUMPRODUCT(K36:O36,MMULT(K36:O36,五股收盤價與其他數據彙總!$P$9:$T$13)))</f>
        <v>4.9745111659531304E-5</v>
      </c>
      <c r="R36" s="89">
        <f ca="1">SUMPRODUCT(K36:O36,模擬股票報酬!$C$62:$G$62)</f>
        <v>3.6749880570891708E-2</v>
      </c>
      <c r="S36" s="89">
        <f t="shared" ca="1" si="7"/>
        <v>0.19170258363123777</v>
      </c>
      <c r="T36" s="78">
        <f t="shared" ca="1" si="8"/>
        <v>-0.24126046718967656</v>
      </c>
    </row>
    <row r="37" spans="2:20" x14ac:dyDescent="0.4">
      <c r="B37" s="19">
        <v>36</v>
      </c>
      <c r="C37">
        <f ca="1"/>
        <v>0.14832263150112124</v>
      </c>
      <c r="D37">
        <f ca="1"/>
        <v>0.24486123883855404</v>
      </c>
      <c r="E37">
        <f ca="1"/>
        <v>0.98913925355008159</v>
      </c>
      <c r="F37">
        <f ca="1"/>
        <v>0.22037776846965107</v>
      </c>
      <c r="G37" s="25">
        <f ca="1"/>
        <v>0.87134449473226705</v>
      </c>
      <c r="J37" s="68">
        <v>36</v>
      </c>
      <c r="K37" s="89">
        <f t="shared" ca="1" si="1"/>
        <v>5.9951459368932425E-2</v>
      </c>
      <c r="L37" s="89">
        <f t="shared" ca="1" si="2"/>
        <v>9.8972007593763997E-2</v>
      </c>
      <c r="M37" s="89">
        <f t="shared" ca="1" si="3"/>
        <v>0.39980642987024934</v>
      </c>
      <c r="N37" s="89">
        <f t="shared" ca="1" si="4"/>
        <v>8.9075879375322492E-2</v>
      </c>
      <c r="O37" s="89">
        <f t="shared" ca="1" si="5"/>
        <v>0.35219422379173176</v>
      </c>
      <c r="P37" s="89">
        <f t="shared" ca="1" si="6"/>
        <v>1</v>
      </c>
      <c r="Q37" s="89">
        <f ca="1">(SUMPRODUCT(K37:O37,MMULT(K37:O37,五股收盤價與其他數據彙總!$P$9:$T$13)))</f>
        <v>3.2964575479317423E-5</v>
      </c>
      <c r="R37" s="89">
        <f ca="1">SUMPRODUCT(K37:O37,模擬股票報酬!$C$62:$G$62)</f>
        <v>3.2364771506501751E-2</v>
      </c>
      <c r="S37" s="89">
        <f t="shared" ca="1" si="7"/>
        <v>0.17990211645920609</v>
      </c>
      <c r="T37" s="78">
        <f t="shared" ca="1" si="8"/>
        <v>-0.25717893894267785</v>
      </c>
    </row>
    <row r="38" spans="2:20" x14ac:dyDescent="0.4">
      <c r="B38" s="19">
        <v>37</v>
      </c>
      <c r="C38">
        <f ca="1"/>
        <v>0.37250873843572418</v>
      </c>
      <c r="D38">
        <f ca="1"/>
        <v>0.55065272978136193</v>
      </c>
      <c r="E38">
        <f ca="1"/>
        <v>0.78660695846801199</v>
      </c>
      <c r="F38">
        <f ca="1"/>
        <v>0.27835762536770714</v>
      </c>
      <c r="G38" s="25">
        <f ca="1"/>
        <v>0.6304472144872022</v>
      </c>
      <c r="J38" s="68">
        <v>37</v>
      </c>
      <c r="K38" s="89">
        <f t="shared" ca="1" si="1"/>
        <v>0.14225637418498899</v>
      </c>
      <c r="L38" s="89">
        <f t="shared" ca="1" si="2"/>
        <v>0.21028731058151925</v>
      </c>
      <c r="M38" s="89">
        <f t="shared" ca="1" si="3"/>
        <v>0.30039524519677746</v>
      </c>
      <c r="N38" s="89">
        <f t="shared" ca="1" si="4"/>
        <v>0.106301255315078</v>
      </c>
      <c r="O38" s="89">
        <f t="shared" ca="1" si="5"/>
        <v>0.24075981472163632</v>
      </c>
      <c r="P38" s="89">
        <f t="shared" ca="1" si="6"/>
        <v>1</v>
      </c>
      <c r="Q38" s="89">
        <f ca="1">(SUMPRODUCT(K38:O38,MMULT(K38:O38,五股收盤價與其他數據彙總!$P$9:$T$13)))</f>
        <v>4.6394814353972951E-5</v>
      </c>
      <c r="R38" s="89">
        <f ca="1">SUMPRODUCT(K38:O38,模擬股票報酬!$C$62:$G$62)</f>
        <v>3.8539715194933759E-2</v>
      </c>
      <c r="S38" s="89">
        <f t="shared" ca="1" si="7"/>
        <v>0.19631534630520803</v>
      </c>
      <c r="T38" s="78">
        <f t="shared" ca="1" si="8"/>
        <v>-0.23560870841822198</v>
      </c>
    </row>
    <row r="39" spans="2:20" x14ac:dyDescent="0.4">
      <c r="B39" s="19">
        <v>38</v>
      </c>
      <c r="C39">
        <f ca="1"/>
        <v>4.9921885068937577E-2</v>
      </c>
      <c r="D39">
        <f ca="1"/>
        <v>0.67407667313739283</v>
      </c>
      <c r="E39">
        <f ca="1"/>
        <v>0.43413270341182009</v>
      </c>
      <c r="F39">
        <f ca="1"/>
        <v>0.31724228424842793</v>
      </c>
      <c r="G39" s="25">
        <f ca="1"/>
        <v>1.2468324483765558E-2</v>
      </c>
      <c r="J39" s="68">
        <v>38</v>
      </c>
      <c r="K39" s="89">
        <f t="shared" ca="1" si="1"/>
        <v>3.3553219642341703E-2</v>
      </c>
      <c r="L39" s="89">
        <f t="shared" ca="1" si="2"/>
        <v>0.45305666319140969</v>
      </c>
      <c r="M39" s="89">
        <f t="shared" ca="1" si="3"/>
        <v>0.291786857234764</v>
      </c>
      <c r="N39" s="89">
        <f t="shared" ca="1" si="4"/>
        <v>0.21322311904942323</v>
      </c>
      <c r="O39" s="89">
        <f t="shared" ca="1" si="5"/>
        <v>8.3801408820613627E-3</v>
      </c>
      <c r="P39" s="89">
        <f t="shared" ca="1" si="6"/>
        <v>1</v>
      </c>
      <c r="Q39" s="89">
        <f ca="1">(SUMPRODUCT(K39:O39,MMULT(K39:O39,五股收盤價與其他數據彙總!$P$9:$T$13)))</f>
        <v>1.1739908328008945E-4</v>
      </c>
      <c r="R39" s="89">
        <f ca="1">SUMPRODUCT(K39:O39,模擬股票報酬!$C$62:$G$62)</f>
        <v>5.9687750767093137E-2</v>
      </c>
      <c r="S39" s="89">
        <f t="shared" ca="1" si="7"/>
        <v>0.24431076678503783</v>
      </c>
      <c r="T39" s="78">
        <f t="shared" ca="1" si="8"/>
        <v>-0.18903219667496146</v>
      </c>
    </row>
    <row r="40" spans="2:20" x14ac:dyDescent="0.4">
      <c r="B40" s="19">
        <v>39</v>
      </c>
      <c r="C40">
        <f ca="1"/>
        <v>0.74139558133082595</v>
      </c>
      <c r="D40">
        <f ca="1"/>
        <v>0.40333144180878944</v>
      </c>
      <c r="E40">
        <f ca="1"/>
        <v>0.63669605268109053</v>
      </c>
      <c r="F40">
        <f ca="1"/>
        <v>0.97843984131873363</v>
      </c>
      <c r="G40" s="25">
        <f ca="1"/>
        <v>0.37223721835959567</v>
      </c>
      <c r="J40" s="68">
        <v>39</v>
      </c>
      <c r="K40" s="89">
        <f t="shared" ca="1" si="1"/>
        <v>0.23670877342901422</v>
      </c>
      <c r="L40" s="89">
        <f t="shared" ca="1" si="2"/>
        <v>0.12877348244312339</v>
      </c>
      <c r="M40" s="89">
        <f t="shared" ca="1" si="3"/>
        <v>0.20328087389825619</v>
      </c>
      <c r="N40" s="89">
        <f t="shared" ca="1" si="4"/>
        <v>0.31239098336261828</v>
      </c>
      <c r="O40" s="89">
        <f t="shared" ca="1" si="5"/>
        <v>0.11884588686698784</v>
      </c>
      <c r="P40" s="89">
        <f t="shared" ca="1" si="6"/>
        <v>0.99999999999999989</v>
      </c>
      <c r="Q40" s="89">
        <f ca="1">(SUMPRODUCT(K40:O40,MMULT(K40:O40,五股收盤價與其他數據彙總!$P$9:$T$13)))</f>
        <v>3.9603450040997788E-5</v>
      </c>
      <c r="R40" s="89">
        <f ca="1">SUMPRODUCT(K40:O40,模擬股票報酬!$C$62:$G$62)</f>
        <v>3.1118165250739065E-2</v>
      </c>
      <c r="S40" s="89">
        <f t="shared" ca="1" si="7"/>
        <v>0.17640341621051181</v>
      </c>
      <c r="T40" s="78">
        <f t="shared" ca="1" si="8"/>
        <v>-0.26224206732342392</v>
      </c>
    </row>
    <row r="41" spans="2:20" x14ac:dyDescent="0.4">
      <c r="B41" s="19">
        <v>40</v>
      </c>
      <c r="C41">
        <f ca="1"/>
        <v>0.75213871262638499</v>
      </c>
      <c r="D41">
        <f ca="1"/>
        <v>0.15024511544719243</v>
      </c>
      <c r="E41">
        <f ca="1"/>
        <v>0.83778350026503401</v>
      </c>
      <c r="F41">
        <f ca="1"/>
        <v>0.10794036978678867</v>
      </c>
      <c r="G41" s="25">
        <f ca="1"/>
        <v>0.97626556641568585</v>
      </c>
      <c r="J41" s="68">
        <v>40</v>
      </c>
      <c r="K41" s="89">
        <f t="shared" ca="1" si="1"/>
        <v>0.26630287224043497</v>
      </c>
      <c r="L41" s="89">
        <f t="shared" ca="1" si="2"/>
        <v>5.3195913349507219E-2</v>
      </c>
      <c r="M41" s="89">
        <f t="shared" ca="1" si="3"/>
        <v>0.29662633858742465</v>
      </c>
      <c r="N41" s="89">
        <f t="shared" ca="1" si="4"/>
        <v>3.8217459123387927E-2</v>
      </c>
      <c r="O41" s="89">
        <f t="shared" ca="1" si="5"/>
        <v>0.34565741669924527</v>
      </c>
      <c r="P41" s="89">
        <f t="shared" ca="1" si="6"/>
        <v>1</v>
      </c>
      <c r="Q41" s="89">
        <f ca="1">(SUMPRODUCT(K41:O41,MMULT(K41:O41,五股收盤價與其他數據彙總!$P$9:$T$13)))</f>
        <v>2.842208200344215E-5</v>
      </c>
      <c r="R41" s="89">
        <f ca="1">SUMPRODUCT(K41:O41,模擬股票報酬!$C$62:$G$62)</f>
        <v>2.4459858920455584E-2</v>
      </c>
      <c r="S41" s="89">
        <f t="shared" ca="1" si="7"/>
        <v>0.15639647988511629</v>
      </c>
      <c r="T41" s="78">
        <f t="shared" ca="1" si="8"/>
        <v>-0.29586073773518523</v>
      </c>
    </row>
    <row r="42" spans="2:20" x14ac:dyDescent="0.4">
      <c r="B42" s="19">
        <v>41</v>
      </c>
      <c r="C42">
        <f ca="1"/>
        <v>1.1990711584980662E-2</v>
      </c>
      <c r="D42">
        <f ca="1"/>
        <v>0.84932517653944384</v>
      </c>
      <c r="E42">
        <f ca="1"/>
        <v>0.16667439734882272</v>
      </c>
      <c r="F42">
        <f ca="1"/>
        <v>0.48998981755740578</v>
      </c>
      <c r="G42" s="25">
        <f ca="1"/>
        <v>0.51904878955114131</v>
      </c>
      <c r="J42" s="68">
        <v>41</v>
      </c>
      <c r="K42" s="89">
        <f t="shared" ca="1" si="1"/>
        <v>5.8863728583561014E-3</v>
      </c>
      <c r="L42" s="89">
        <f t="shared" ca="1" si="2"/>
        <v>0.41694311731778255</v>
      </c>
      <c r="M42" s="89">
        <f t="shared" ca="1" si="3"/>
        <v>8.1822304021213141E-2</v>
      </c>
      <c r="N42" s="89">
        <f t="shared" ca="1" si="4"/>
        <v>0.24054141762141493</v>
      </c>
      <c r="O42" s="89">
        <f t="shared" ca="1" si="5"/>
        <v>0.2548067881812332</v>
      </c>
      <c r="P42" s="89">
        <f t="shared" ca="1" si="6"/>
        <v>0.99999999999999978</v>
      </c>
      <c r="Q42" s="89">
        <f ca="1">(SUMPRODUCT(K42:O42,MMULT(K42:O42,五股收盤價與其他數據彙總!$P$9:$T$13)))</f>
        <v>9.0977163514212648E-5</v>
      </c>
      <c r="R42" s="89">
        <f ca="1">SUMPRODUCT(K42:O42,模擬股票報酬!$C$62:$G$62)</f>
        <v>5.0877001647847621E-2</v>
      </c>
      <c r="S42" s="89">
        <f t="shared" ca="1" si="7"/>
        <v>0.22555930849301614</v>
      </c>
      <c r="T42" s="78">
        <f t="shared" ca="1" si="8"/>
        <v>-0.2048641802690955</v>
      </c>
    </row>
    <row r="43" spans="2:20" x14ac:dyDescent="0.4">
      <c r="B43" s="19">
        <v>42</v>
      </c>
      <c r="C43">
        <f ca="1"/>
        <v>0.98252974616381139</v>
      </c>
      <c r="D43">
        <f ca="1"/>
        <v>0.17288296160922068</v>
      </c>
      <c r="E43">
        <f ca="1"/>
        <v>0.31985701444091452</v>
      </c>
      <c r="F43">
        <f ca="1"/>
        <v>0.74029506797723021</v>
      </c>
      <c r="G43" s="25">
        <f ca="1"/>
        <v>0.61332253944941484</v>
      </c>
      <c r="J43" s="68">
        <v>42</v>
      </c>
      <c r="K43" s="89">
        <f t="shared" ca="1" si="1"/>
        <v>0.34732021168500937</v>
      </c>
      <c r="L43" s="89">
        <f t="shared" ca="1" si="2"/>
        <v>6.1113413672500456E-2</v>
      </c>
      <c r="M43" s="89">
        <f t="shared" ca="1" si="3"/>
        <v>0.11306813498349971</v>
      </c>
      <c r="N43" s="89">
        <f t="shared" ca="1" si="4"/>
        <v>0.2616912523240309</v>
      </c>
      <c r="O43" s="89">
        <f t="shared" ca="1" si="5"/>
        <v>0.21680698733495934</v>
      </c>
      <c r="P43" s="89">
        <f t="shared" ca="1" si="6"/>
        <v>0.99999999999999978</v>
      </c>
      <c r="Q43" s="89">
        <f ca="1">(SUMPRODUCT(K43:O43,MMULT(K43:O43,五股收盤價與其他數據彙總!$P$9:$T$13)))</f>
        <v>3.1740116776004432E-5</v>
      </c>
      <c r="R43" s="89">
        <f ca="1">SUMPRODUCT(K43:O43,模擬股票報酬!$C$62:$G$62)</f>
        <v>2.2038858674943505E-2</v>
      </c>
      <c r="S43" s="89">
        <f t="shared" ca="1" si="7"/>
        <v>0.14845490451629917</v>
      </c>
      <c r="T43" s="78">
        <f t="shared" ca="1" si="8"/>
        <v>-0.31166541808757897</v>
      </c>
    </row>
    <row r="44" spans="2:20" x14ac:dyDescent="0.4">
      <c r="B44" s="19">
        <v>43</v>
      </c>
      <c r="C44">
        <f ca="1"/>
        <v>2.6815632872257966E-2</v>
      </c>
      <c r="D44">
        <f ca="1"/>
        <v>0.65974665215985739</v>
      </c>
      <c r="E44">
        <f ca="1"/>
        <v>0.40314611581357185</v>
      </c>
      <c r="F44">
        <f ca="1"/>
        <v>0.53009681341415926</v>
      </c>
      <c r="G44" s="25">
        <f ca="1"/>
        <v>0.54171008899650031</v>
      </c>
      <c r="J44" s="68">
        <v>43</v>
      </c>
      <c r="K44" s="89">
        <f t="shared" ca="1" si="1"/>
        <v>1.240594171684092E-2</v>
      </c>
      <c r="L44" s="89">
        <f t="shared" ca="1" si="2"/>
        <v>0.30522414121516594</v>
      </c>
      <c r="M44" s="89">
        <f t="shared" ca="1" si="3"/>
        <v>0.1865108774415003</v>
      </c>
      <c r="N44" s="89">
        <f t="shared" ca="1" si="4"/>
        <v>0.24524314614639209</v>
      </c>
      <c r="O44" s="89">
        <f t="shared" ca="1" si="5"/>
        <v>0.25061589348010077</v>
      </c>
      <c r="P44" s="89">
        <f t="shared" ca="1" si="6"/>
        <v>1</v>
      </c>
      <c r="Q44" s="89">
        <f ca="1">(SUMPRODUCT(K44:O44,MMULT(K44:O44,五股收盤價與其他數據彙總!$P$9:$T$13)))</f>
        <v>6.4614759333226574E-5</v>
      </c>
      <c r="R44" s="89">
        <f ca="1">SUMPRODUCT(K44:O44,模擬股票報酬!$C$62:$G$62)</f>
        <v>4.4861794521568583E-2</v>
      </c>
      <c r="S44" s="89">
        <f t="shared" ca="1" si="7"/>
        <v>0.21180603041832541</v>
      </c>
      <c r="T44" s="78">
        <f t="shared" ca="1" si="8"/>
        <v>-0.2182911655034091</v>
      </c>
    </row>
    <row r="45" spans="2:20" x14ac:dyDescent="0.4">
      <c r="B45" s="19">
        <v>44</v>
      </c>
      <c r="C45">
        <f ca="1"/>
        <v>0.84902435747688521</v>
      </c>
      <c r="D45">
        <f ca="1"/>
        <v>2.6831341897208816E-2</v>
      </c>
      <c r="E45">
        <f ca="1"/>
        <v>0.37144332761703791</v>
      </c>
      <c r="F45">
        <f ca="1"/>
        <v>4.5072294473524677E-2</v>
      </c>
      <c r="G45" s="25">
        <f ca="1"/>
        <v>0.18938027822995918</v>
      </c>
      <c r="J45" s="68">
        <v>44</v>
      </c>
      <c r="K45" s="89">
        <f t="shared" ca="1" si="1"/>
        <v>0.57298696870100652</v>
      </c>
      <c r="L45" s="89">
        <f t="shared" ca="1" si="2"/>
        <v>1.8107854179296091E-2</v>
      </c>
      <c r="M45" s="89">
        <f t="shared" ca="1" si="3"/>
        <v>0.25067853997498041</v>
      </c>
      <c r="N45" s="89">
        <f t="shared" ca="1" si="4"/>
        <v>3.0418252615899945E-2</v>
      </c>
      <c r="O45" s="89">
        <f t="shared" ca="1" si="5"/>
        <v>0.12780838452881702</v>
      </c>
      <c r="P45" s="89">
        <f t="shared" ca="1" si="6"/>
        <v>1</v>
      </c>
      <c r="Q45" s="89">
        <f ca="1">(SUMPRODUCT(K45:O45,MMULT(K45:O45,五股收盤價與其他數據彙總!$P$9:$T$13)))</f>
        <v>3.9313551631775734E-5</v>
      </c>
      <c r="R45" s="89">
        <f ca="1">SUMPRODUCT(K45:O45,模擬股票報酬!$C$62:$G$62)</f>
        <v>1.9381676116701857E-2</v>
      </c>
      <c r="S45" s="89">
        <f t="shared" ca="1" si="7"/>
        <v>0.1392180883244051</v>
      </c>
      <c r="T45" s="78">
        <f t="shared" ca="1" si="8"/>
        <v>-0.3322893382975628</v>
      </c>
    </row>
    <row r="46" spans="2:20" x14ac:dyDescent="0.4">
      <c r="B46" s="19">
        <v>45</v>
      </c>
      <c r="C46">
        <f ca="1"/>
        <v>0.42985891572641544</v>
      </c>
      <c r="D46">
        <f ca="1"/>
        <v>0.11607512397974151</v>
      </c>
      <c r="E46">
        <f ca="1"/>
        <v>0.82621350327560417</v>
      </c>
      <c r="F46">
        <f ca="1"/>
        <v>0.69423711825558487</v>
      </c>
      <c r="G46" s="25">
        <f ca="1"/>
        <v>0.93498414272773878</v>
      </c>
      <c r="J46" s="68">
        <v>45</v>
      </c>
      <c r="K46" s="89">
        <f t="shared" ca="1" si="1"/>
        <v>0.14322095810369329</v>
      </c>
      <c r="L46" s="89">
        <f t="shared" ca="1" si="2"/>
        <v>3.867406225665955E-2</v>
      </c>
      <c r="M46" s="89">
        <f t="shared" ca="1" si="3"/>
        <v>0.2752789001418619</v>
      </c>
      <c r="N46" s="89">
        <f t="shared" ca="1" si="4"/>
        <v>0.2313068348476314</v>
      </c>
      <c r="O46" s="89">
        <f t="shared" ca="1" si="5"/>
        <v>0.31151924465015379</v>
      </c>
      <c r="P46" s="89">
        <f t="shared" ca="1" si="6"/>
        <v>0.99999999999999989</v>
      </c>
      <c r="Q46" s="89">
        <f ca="1">(SUMPRODUCT(K46:O46,MMULT(K46:O46,五股收盤價與其他數據彙總!$P$9:$T$13)))</f>
        <v>2.8107644320271586E-5</v>
      </c>
      <c r="R46" s="89">
        <f ca="1">SUMPRODUCT(K46:O46,模擬股票報酬!$C$62:$G$62)</f>
        <v>2.5160603148560483E-2</v>
      </c>
      <c r="S46" s="89">
        <f t="shared" ca="1" si="7"/>
        <v>0.15862094170871791</v>
      </c>
      <c r="T46" s="78">
        <f t="shared" ca="1" si="8"/>
        <v>-0.29171364043879333</v>
      </c>
    </row>
    <row r="47" spans="2:20" x14ac:dyDescent="0.4">
      <c r="B47" s="19">
        <v>46</v>
      </c>
      <c r="C47">
        <f ca="1"/>
        <v>5.9561901489958435E-2</v>
      </c>
      <c r="D47">
        <f ca="1"/>
        <v>0.58100415377101755</v>
      </c>
      <c r="E47">
        <f ca="1"/>
        <v>0.74977354445269961</v>
      </c>
      <c r="F47">
        <f ca="1"/>
        <v>0.51846594295636383</v>
      </c>
      <c r="G47" s="25">
        <f ca="1"/>
        <v>0.41504716819867982</v>
      </c>
      <c r="J47" s="68">
        <v>46</v>
      </c>
      <c r="K47" s="90">
        <f t="shared" ca="1" si="1"/>
        <v>2.5630669797352425E-2</v>
      </c>
      <c r="L47" s="90">
        <f t="shared" ca="1" si="2"/>
        <v>0.25001763281022338</v>
      </c>
      <c r="M47" s="90">
        <f t="shared" ca="1" si="3"/>
        <v>0.32264245532687569</v>
      </c>
      <c r="N47" s="90">
        <f t="shared" ca="1" si="4"/>
        <v>0.22310619796662898</v>
      </c>
      <c r="O47" s="90">
        <f t="shared" ca="1" si="5"/>
        <v>0.17860304409891967</v>
      </c>
      <c r="P47" s="90">
        <f t="shared" ca="1" si="6"/>
        <v>1</v>
      </c>
      <c r="Q47" s="89">
        <f ca="1">(SUMPRODUCT(K47:O47,MMULT(K47:O47,五股收盤價與其他數據彙總!$P$9:$T$13)))</f>
        <v>5.7787990369191991E-5</v>
      </c>
      <c r="R47" s="89">
        <f ca="1">SUMPRODUCT(K47:O47,模擬股票報酬!$C$62:$G$62)</f>
        <v>4.4088070798212663E-2</v>
      </c>
      <c r="S47" s="90">
        <f t="shared" ca="1" si="7"/>
        <v>0.2099715952175738</v>
      </c>
      <c r="T47" s="76">
        <f t="shared" ca="1" si="8"/>
        <v>-0.22023079817874583</v>
      </c>
    </row>
    <row r="48" spans="2:20" x14ac:dyDescent="0.4">
      <c r="B48" s="19">
        <v>47</v>
      </c>
      <c r="C48">
        <f ca="1"/>
        <v>0.70085689909153426</v>
      </c>
      <c r="D48">
        <f ca="1"/>
        <v>0.99991684989669372</v>
      </c>
      <c r="E48">
        <f ca="1"/>
        <v>0.54744731673721514</v>
      </c>
      <c r="F48">
        <f ca="1"/>
        <v>0.19700886001189133</v>
      </c>
      <c r="G48" s="25">
        <f ca="1"/>
        <v>8.65924185632716E-3</v>
      </c>
      <c r="J48" s="68">
        <v>47</v>
      </c>
      <c r="K48" s="89">
        <f t="shared" ca="1" si="1"/>
        <v>0.28561065770497296</v>
      </c>
      <c r="L48" s="89">
        <f t="shared" ca="1" si="2"/>
        <v>0.40748248254310304</v>
      </c>
      <c r="M48" s="89">
        <f t="shared" ca="1" si="3"/>
        <v>0.22309374195333126</v>
      </c>
      <c r="N48" s="89">
        <f t="shared" ca="1" si="4"/>
        <v>8.0284335011382213E-2</v>
      </c>
      <c r="O48" s="89">
        <f t="shared" ca="1" si="5"/>
        <v>3.5287827872106411E-3</v>
      </c>
      <c r="P48" s="89">
        <f t="shared" ca="1" si="6"/>
        <v>1</v>
      </c>
      <c r="Q48" s="89">
        <f ca="1">(SUMPRODUCT(K48:O48,MMULT(K48:O48,五股收盤價與其他數據彙總!$P$9:$T$13)))</f>
        <v>1.0140822443935224E-4</v>
      </c>
      <c r="R48" s="89">
        <f ca="1">SUMPRODUCT(K48:O48,模擬股票報酬!$C$62:$G$62)</f>
        <v>5.1765701563495775E-2</v>
      </c>
      <c r="S48" s="89">
        <f t="shared" ca="1" si="7"/>
        <v>0.22752077171875049</v>
      </c>
      <c r="T48" s="78">
        <f t="shared" ca="1" si="8"/>
        <v>-0.20305219354947063</v>
      </c>
    </row>
    <row r="49" spans="2:20" x14ac:dyDescent="0.4">
      <c r="B49" s="19">
        <v>48</v>
      </c>
      <c r="C49">
        <f ca="1"/>
        <v>0.18732887386559716</v>
      </c>
      <c r="D49">
        <f ca="1"/>
        <v>0.62381053028431421</v>
      </c>
      <c r="E49">
        <f ca="1"/>
        <v>0.85110268988867244</v>
      </c>
      <c r="F49">
        <f ca="1"/>
        <v>0.22703972684457274</v>
      </c>
      <c r="G49" s="25">
        <f ca="1"/>
        <v>0.21468308656806201</v>
      </c>
      <c r="J49" s="68">
        <v>48</v>
      </c>
      <c r="K49" s="89">
        <f t="shared" ca="1" si="1"/>
        <v>8.9036120898295198E-2</v>
      </c>
      <c r="L49" s="89">
        <f t="shared" ca="1" si="2"/>
        <v>0.29649283981642527</v>
      </c>
      <c r="M49" s="89">
        <f t="shared" ca="1" si="3"/>
        <v>0.40452323461977974</v>
      </c>
      <c r="N49" s="89">
        <f t="shared" ca="1" si="4"/>
        <v>0.10791041525479282</v>
      </c>
      <c r="O49" s="89">
        <f t="shared" ca="1" si="5"/>
        <v>0.10203738941070696</v>
      </c>
      <c r="P49" s="89">
        <f t="shared" ca="1" si="6"/>
        <v>1</v>
      </c>
      <c r="Q49" s="89">
        <f ca="1">(SUMPRODUCT(K49:O49,MMULT(K49:O49,五股收盤價與其他數據彙總!$P$9:$T$13)))</f>
        <v>6.990081448704067E-5</v>
      </c>
      <c r="R49" s="89">
        <f ca="1">SUMPRODUCT(K49:O49,模擬股票報酬!$C$62:$G$62)</f>
        <v>4.8847126414463857E-2</v>
      </c>
      <c r="S49" s="89">
        <f t="shared" ca="1" si="7"/>
        <v>0.22101386023157882</v>
      </c>
      <c r="T49" s="78">
        <f t="shared" ca="1" si="8"/>
        <v>-0.20917285068489805</v>
      </c>
    </row>
    <row r="50" spans="2:20" x14ac:dyDescent="0.4">
      <c r="B50" s="19">
        <v>49</v>
      </c>
      <c r="C50">
        <f ca="1"/>
        <v>0.64409354493489546</v>
      </c>
      <c r="D50">
        <f ca="1"/>
        <v>0.81430126751529364</v>
      </c>
      <c r="E50">
        <f ca="1"/>
        <v>0.64372232592624123</v>
      </c>
      <c r="F50">
        <f ca="1"/>
        <v>0.30112418475656999</v>
      </c>
      <c r="G50" s="25">
        <f ca="1"/>
        <v>0.1151954174694505</v>
      </c>
      <c r="J50" s="68">
        <v>49</v>
      </c>
      <c r="K50" s="89">
        <f t="shared" ca="1" si="1"/>
        <v>0.25575132960489527</v>
      </c>
      <c r="L50" s="89">
        <f t="shared" ca="1" si="2"/>
        <v>0.32333600220607478</v>
      </c>
      <c r="M50" s="89">
        <f t="shared" ca="1" si="3"/>
        <v>0.25560392903585599</v>
      </c>
      <c r="N50" s="89">
        <f t="shared" ca="1" si="4"/>
        <v>0.11956789698221137</v>
      </c>
      <c r="O50" s="89">
        <f t="shared" ca="1" si="5"/>
        <v>4.5740842170962734E-2</v>
      </c>
      <c r="P50" s="89">
        <f t="shared" ca="1" si="6"/>
        <v>1</v>
      </c>
      <c r="Q50" s="90">
        <f ca="1">(SUMPRODUCT(K50:O50,MMULT(K50:O50,五股收盤價與其他數據彙總!$P$9:$T$13)))</f>
        <v>7.6364371537267209E-5</v>
      </c>
      <c r="R50" s="90">
        <f ca="1">SUMPRODUCT(K50:O50,模擬股票報酬!$C$62:$G$62)</f>
        <v>4.6356280909969454E-2</v>
      </c>
      <c r="S50" s="89">
        <f t="shared" ca="1" si="7"/>
        <v>0.21530508797975365</v>
      </c>
      <c r="T50" s="78">
        <f t="shared" ca="1" si="8"/>
        <v>-0.21468900740891642</v>
      </c>
    </row>
    <row r="51" spans="2:20" x14ac:dyDescent="0.4">
      <c r="B51" s="19">
        <v>50</v>
      </c>
      <c r="C51">
        <f ca="1"/>
        <v>0.11211275750542193</v>
      </c>
      <c r="D51">
        <f ca="1"/>
        <v>0.52084696274408016</v>
      </c>
      <c r="E51">
        <f ca="1"/>
        <v>0.52259481980421985</v>
      </c>
      <c r="F51">
        <f ca="1"/>
        <v>0.84628913286961605</v>
      </c>
      <c r="G51" s="25">
        <f ca="1"/>
        <v>0.12334010783901661</v>
      </c>
      <c r="J51" s="68">
        <v>50</v>
      </c>
      <c r="K51" s="89">
        <f t="shared" ca="1" si="1"/>
        <v>5.2754382242275716E-2</v>
      </c>
      <c r="L51" s="89">
        <f t="shared" ca="1" si="2"/>
        <v>0.24508325701471326</v>
      </c>
      <c r="M51" s="89">
        <f t="shared" ca="1" si="3"/>
        <v>0.24590570685456317</v>
      </c>
      <c r="N51" s="89">
        <f t="shared" ca="1" si="4"/>
        <v>0.39821926956643333</v>
      </c>
      <c r="O51" s="89">
        <f t="shared" ca="1" si="5"/>
        <v>5.8037384322014517E-2</v>
      </c>
      <c r="P51" s="89">
        <f t="shared" ca="1" si="6"/>
        <v>1</v>
      </c>
      <c r="Q51" s="89">
        <f ca="1">(SUMPRODUCT(K51:O51,MMULT(K51:O51,五股收盤價與其他數據彙總!$P$9:$T$13)))</f>
        <v>6.2675177194300715E-5</v>
      </c>
      <c r="R51" s="89">
        <f ca="1">SUMPRODUCT(K51:O51,模擬股票報酬!$C$62:$G$62)</f>
        <v>4.3357771144740681E-2</v>
      </c>
      <c r="S51" s="89">
        <f t="shared" ca="1" si="7"/>
        <v>0.20822528939766341</v>
      </c>
      <c r="T51" s="78">
        <f t="shared" ca="1" si="8"/>
        <v>-0.22205431893770994</v>
      </c>
    </row>
    <row r="52" spans="2:20" x14ac:dyDescent="0.4">
      <c r="B52" s="19">
        <v>51</v>
      </c>
      <c r="C52">
        <f ca="1"/>
        <v>0.22635041911505294</v>
      </c>
      <c r="D52">
        <f ca="1"/>
        <v>4.6080833804436949E-2</v>
      </c>
      <c r="E52">
        <f ca="1"/>
        <v>0.49350687764552603</v>
      </c>
      <c r="F52">
        <f ca="1"/>
        <v>0.53867292037318593</v>
      </c>
      <c r="G52" s="25">
        <f ca="1"/>
        <v>0.48021999760823864</v>
      </c>
      <c r="J52" s="68">
        <v>51</v>
      </c>
      <c r="K52" s="89">
        <f t="shared" ca="1" si="1"/>
        <v>0.12681896098759143</v>
      </c>
      <c r="L52" s="89">
        <f t="shared" ca="1" si="2"/>
        <v>2.5818036862348962E-2</v>
      </c>
      <c r="M52" s="89">
        <f t="shared" ca="1" si="3"/>
        <v>0.27650061222737926</v>
      </c>
      <c r="N52" s="89">
        <f t="shared" ca="1" si="4"/>
        <v>0.30180611257960749</v>
      </c>
      <c r="O52" s="89">
        <f t="shared" ca="1" si="5"/>
        <v>0.26905627734307286</v>
      </c>
      <c r="P52" s="89">
        <f t="shared" ca="1" si="6"/>
        <v>1</v>
      </c>
      <c r="Q52" s="89">
        <f ca="1">(SUMPRODUCT(K52:O52,MMULT(K52:O52,五股收盤價與其他數據彙總!$P$9:$T$13)))</f>
        <v>2.9105833071590549E-5</v>
      </c>
      <c r="R52" s="89">
        <f ca="1">SUMPRODUCT(K52:O52,模擬股票報酬!$C$62:$G$62)</f>
        <v>2.4995096141425994E-2</v>
      </c>
      <c r="S52" s="89">
        <f t="shared" ca="1" si="7"/>
        <v>0.15809837488546805</v>
      </c>
      <c r="T52" s="78">
        <f t="shared" ca="1" si="8"/>
        <v>-0.2926715356843399</v>
      </c>
    </row>
    <row r="53" spans="2:20" x14ac:dyDescent="0.4">
      <c r="B53" s="19">
        <v>52</v>
      </c>
      <c r="C53">
        <f ca="1"/>
        <v>0.58007585323406818</v>
      </c>
      <c r="D53">
        <f ca="1"/>
        <v>0.79378561118298285</v>
      </c>
      <c r="E53">
        <f ca="1"/>
        <v>0.45309395731646473</v>
      </c>
      <c r="F53">
        <f ca="1"/>
        <v>0.63838310794846098</v>
      </c>
      <c r="G53" s="25">
        <f ca="1"/>
        <v>0.92481527345149162</v>
      </c>
      <c r="J53" s="68">
        <v>52</v>
      </c>
      <c r="K53" s="89">
        <f t="shared" ca="1" si="1"/>
        <v>0.17110605799002773</v>
      </c>
      <c r="L53" s="89">
        <f t="shared" ca="1" si="2"/>
        <v>0.23414442449463468</v>
      </c>
      <c r="M53" s="89">
        <f t="shared" ca="1" si="3"/>
        <v>0.13364997095343487</v>
      </c>
      <c r="N53" s="89">
        <f t="shared" ca="1" si="4"/>
        <v>0.18830505782906165</v>
      </c>
      <c r="O53" s="89">
        <f t="shared" ca="1" si="5"/>
        <v>0.27279448873284123</v>
      </c>
      <c r="P53" s="89">
        <f t="shared" ca="1" si="6"/>
        <v>1.0000000000000002</v>
      </c>
      <c r="Q53" s="89">
        <f ca="1">(SUMPRODUCT(K53:O53,MMULT(K53:O53,五股收盤價與其他數據彙總!$P$9:$T$13)))</f>
        <v>4.8035099879669026E-5</v>
      </c>
      <c r="R53" s="89">
        <f ca="1">SUMPRODUCT(K53:O53,模擬股票報酬!$C$62:$G$62)</f>
        <v>3.6421602386164438E-2</v>
      </c>
      <c r="S53" s="89">
        <f t="shared" ca="1" si="7"/>
        <v>0.19084444552085983</v>
      </c>
      <c r="T53" s="78">
        <f t="shared" ca="1" si="8"/>
        <v>-0.24235426278133343</v>
      </c>
    </row>
    <row r="54" spans="2:20" x14ac:dyDescent="0.4">
      <c r="B54" s="19">
        <v>53</v>
      </c>
      <c r="C54">
        <f ca="1"/>
        <v>0.36935315893753695</v>
      </c>
      <c r="D54">
        <f ca="1"/>
        <v>0.68217707751230749</v>
      </c>
      <c r="E54">
        <f ca="1"/>
        <v>0.11259553330694727</v>
      </c>
      <c r="F54">
        <f ca="1"/>
        <v>0.22461439250575865</v>
      </c>
      <c r="G54" s="25">
        <f ca="1"/>
        <v>0.2450541287010719</v>
      </c>
      <c r="J54" s="68">
        <v>53</v>
      </c>
      <c r="K54" s="89">
        <f t="shared" ca="1" si="1"/>
        <v>0.22607078564320979</v>
      </c>
      <c r="L54" s="89">
        <f t="shared" ca="1" si="2"/>
        <v>0.41754159705745764</v>
      </c>
      <c r="M54" s="89">
        <f t="shared" ca="1" si="3"/>
        <v>6.8916591231652363E-2</v>
      </c>
      <c r="N54" s="89">
        <f t="shared" ca="1" si="4"/>
        <v>0.13748021629655693</v>
      </c>
      <c r="O54" s="89">
        <f t="shared" ca="1" si="5"/>
        <v>0.14999080977112328</v>
      </c>
      <c r="P54" s="89">
        <f t="shared" ca="1" si="6"/>
        <v>1</v>
      </c>
      <c r="Q54" s="89">
        <f ca="1">(SUMPRODUCT(K54:O54,MMULT(K54:O54,五股收盤價與其他數據彙總!$P$9:$T$13)))</f>
        <v>9.4597538042460834E-5</v>
      </c>
      <c r="R54" s="89">
        <f ca="1">SUMPRODUCT(K54:O54,模擬股票報酬!$C$62:$G$62)</f>
        <v>4.8818750503737733E-2</v>
      </c>
      <c r="S54" s="89">
        <f t="shared" ca="1" si="7"/>
        <v>0.2209496560389668</v>
      </c>
      <c r="T54" s="78">
        <f t="shared" ca="1" si="8"/>
        <v>-0.20912185739636877</v>
      </c>
    </row>
    <row r="55" spans="2:20" x14ac:dyDescent="0.4">
      <c r="B55" s="19">
        <v>54</v>
      </c>
      <c r="C55">
        <f ca="1"/>
        <v>0.48394186226135361</v>
      </c>
      <c r="D55">
        <f ca="1"/>
        <v>0.62693609609568512</v>
      </c>
      <c r="E55">
        <f ca="1"/>
        <v>0.46091957456128352</v>
      </c>
      <c r="F55">
        <f ca="1"/>
        <v>2.9767780911548192E-2</v>
      </c>
      <c r="G55" s="25">
        <f ca="1"/>
        <v>0.80740272916293399</v>
      </c>
      <c r="J55" s="68">
        <v>54</v>
      </c>
      <c r="K55" s="89">
        <f t="shared" ca="1" si="1"/>
        <v>0.20089177341685438</v>
      </c>
      <c r="L55" s="89">
        <f t="shared" ca="1" si="2"/>
        <v>0.26025089785616462</v>
      </c>
      <c r="M55" s="89">
        <f t="shared" ca="1" si="3"/>
        <v>0.19133486469528074</v>
      </c>
      <c r="N55" s="89">
        <f t="shared" ca="1" si="4"/>
        <v>1.2357067582584409E-2</v>
      </c>
      <c r="O55" s="89">
        <f t="shared" ca="1" si="5"/>
        <v>0.3351653964491158</v>
      </c>
      <c r="P55" s="89">
        <f t="shared" ca="1" si="6"/>
        <v>0.99999999999999989</v>
      </c>
      <c r="Q55" s="89">
        <f ca="1">(SUMPRODUCT(K55:O55,MMULT(K55:O55,五股收盤價與其他數據彙總!$P$9:$T$13)))</f>
        <v>5.2088700846458322E-5</v>
      </c>
      <c r="R55" s="89">
        <f ca="1">SUMPRODUCT(K55:O55,模擬股票報酬!$C$62:$G$62)</f>
        <v>3.8174179077664912E-2</v>
      </c>
      <c r="S55" s="89">
        <f t="shared" ca="1" si="7"/>
        <v>0.19538213602493171</v>
      </c>
      <c r="T55" s="78">
        <f t="shared" ca="1" si="8"/>
        <v>-0.23670491192322765</v>
      </c>
    </row>
    <row r="56" spans="2:20" x14ac:dyDescent="0.4">
      <c r="B56" s="19">
        <v>55</v>
      </c>
      <c r="C56">
        <f ca="1"/>
        <v>0.14543286321962223</v>
      </c>
      <c r="D56">
        <f ca="1"/>
        <v>0.65671022230435461</v>
      </c>
      <c r="E56">
        <f ca="1"/>
        <v>0.1012859697824473</v>
      </c>
      <c r="F56">
        <f ca="1"/>
        <v>0.91055181703678767</v>
      </c>
      <c r="G56" s="25">
        <f ca="1"/>
        <v>0.71066261512215734</v>
      </c>
      <c r="J56" s="68">
        <v>55</v>
      </c>
      <c r="K56" s="89">
        <f t="shared" ca="1" si="1"/>
        <v>5.7605307023222682E-2</v>
      </c>
      <c r="L56" s="89">
        <f t="shared" ca="1" si="2"/>
        <v>0.26011998350058635</v>
      </c>
      <c r="M56" s="89">
        <f t="shared" ca="1" si="3"/>
        <v>4.0118919873369512E-2</v>
      </c>
      <c r="N56" s="89">
        <f t="shared" ca="1" si="4"/>
        <v>0.36066550447918555</v>
      </c>
      <c r="O56" s="89">
        <f t="shared" ca="1" si="5"/>
        <v>0.28149028512363594</v>
      </c>
      <c r="P56" s="89">
        <f t="shared" ca="1" si="6"/>
        <v>1</v>
      </c>
      <c r="Q56" s="89">
        <f ca="1">(SUMPRODUCT(K56:O56,MMULT(K56:O56,五股收盤價與其他數據彙總!$P$9:$T$13)))</f>
        <v>5.3411693774713162E-5</v>
      </c>
      <c r="R56" s="89">
        <f ca="1">SUMPRODUCT(K56:O56,模擬股票報酬!$C$62:$G$62)</f>
        <v>3.8038385571438557E-2</v>
      </c>
      <c r="S56" s="89">
        <f t="shared" ca="1" si="7"/>
        <v>0.19503431895807097</v>
      </c>
      <c r="T56" s="78">
        <f t="shared" ca="1" si="8"/>
        <v>-0.23712025941530582</v>
      </c>
    </row>
    <row r="57" spans="2:20" x14ac:dyDescent="0.4">
      <c r="B57" s="19">
        <v>56</v>
      </c>
      <c r="C57">
        <f ca="1"/>
        <v>0.98948006675623867</v>
      </c>
      <c r="D57">
        <f ca="1"/>
        <v>7.1918495462224952E-2</v>
      </c>
      <c r="E57">
        <f ca="1"/>
        <v>2.6245999468448744E-2</v>
      </c>
      <c r="F57">
        <f ca="1"/>
        <v>0.42567758696831737</v>
      </c>
      <c r="G57" s="25">
        <f ca="1"/>
        <v>0.17317620683771406</v>
      </c>
      <c r="J57" s="68">
        <v>56</v>
      </c>
      <c r="K57" s="89">
        <f t="shared" ca="1" si="1"/>
        <v>0.58670680794528562</v>
      </c>
      <c r="L57" s="89">
        <f t="shared" ca="1" si="2"/>
        <v>4.2643679567184643E-2</v>
      </c>
      <c r="M57" s="89">
        <f t="shared" ca="1" si="3"/>
        <v>1.5562422212251339E-2</v>
      </c>
      <c r="N57" s="89">
        <f t="shared" ca="1" si="4"/>
        <v>0.25240320311127534</v>
      </c>
      <c r="O57" s="89">
        <f t="shared" ca="1" si="5"/>
        <v>0.10268388716400301</v>
      </c>
      <c r="P57" s="89">
        <f t="shared" ca="1" si="6"/>
        <v>1</v>
      </c>
      <c r="Q57" s="89">
        <f ca="1">(SUMPRODUCT(K57:O57,MMULT(K57:O57,五股收盤價與其他數據彙總!$P$9:$T$13)))</f>
        <v>4.2588813692512423E-5</v>
      </c>
      <c r="R57" s="89">
        <f ca="1">SUMPRODUCT(K57:O57,模擬股票報酬!$C$62:$G$62)</f>
        <v>1.6939949329105322E-2</v>
      </c>
      <c r="S57" s="89">
        <f t="shared" ca="1" si="7"/>
        <v>0.13015356057021768</v>
      </c>
      <c r="T57" s="78">
        <f t="shared" ca="1" si="8"/>
        <v>-0.35540642133529399</v>
      </c>
    </row>
    <row r="58" spans="2:20" ht="17.5" thickBot="1" x14ac:dyDescent="0.45">
      <c r="B58" s="27">
        <v>57</v>
      </c>
      <c r="C58" s="23">
        <f ca="1"/>
        <v>0.9732094917179237</v>
      </c>
      <c r="D58" s="23">
        <f ca="1"/>
        <v>0.17696599547878811</v>
      </c>
      <c r="E58" s="23">
        <f ca="1"/>
        <v>0.42691755566563194</v>
      </c>
      <c r="F58" s="23">
        <f ca="1"/>
        <v>0.18355579453975546</v>
      </c>
      <c r="G58" s="26">
        <f ca="1"/>
        <v>0.83269850719757676</v>
      </c>
      <c r="J58" s="69">
        <v>57</v>
      </c>
      <c r="K58" s="79">
        <f t="shared" ca="1" si="1"/>
        <v>0.37527155540676482</v>
      </c>
      <c r="L58" s="79">
        <f t="shared" ca="1" si="2"/>
        <v>6.8238447058508317E-2</v>
      </c>
      <c r="M58" s="79">
        <f t="shared" ca="1" si="3"/>
        <v>0.16462027601302032</v>
      </c>
      <c r="N58" s="79">
        <f t="shared" ca="1" si="4"/>
        <v>7.0779486952254056E-2</v>
      </c>
      <c r="O58" s="79">
        <f t="shared" ca="1" si="5"/>
        <v>0.32109023456945252</v>
      </c>
      <c r="P58" s="79">
        <f t="shared" ca="1" si="6"/>
        <v>1</v>
      </c>
      <c r="Q58" s="79">
        <f ca="1">(SUMPRODUCT(K58:O58,MMULT(K58:O58,五股收盤價與其他數據彙總!$P$9:$T$13)))</f>
        <v>3.1264370339623562E-5</v>
      </c>
      <c r="R58" s="79">
        <f ca="1">SUMPRODUCT(K58:O58,模擬股票報酬!$C$62:$G$62)</f>
        <v>2.1885016757345218E-2</v>
      </c>
      <c r="S58" s="79">
        <f t="shared" ca="1" si="7"/>
        <v>0.1479358535222115</v>
      </c>
      <c r="T58" s="80">
        <f t="shared" ca="1" si="8"/>
        <v>-0.31276215013498038</v>
      </c>
    </row>
    <row r="59" spans="2:20" ht="17.5" thickTop="1" x14ac:dyDescent="0.4"/>
  </sheetData>
  <sortState xmlns:xlrd2="http://schemas.microsoft.com/office/spreadsheetml/2017/richdata2" ref="Q2:R58">
    <sortCondition ref="Q2"/>
  </sortState>
  <mergeCells count="1">
    <mergeCell ref="A2:A9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CB593-E9F1-4658-AE35-4B1FC371A35D}">
  <sheetPr codeName="工作表17"/>
  <dimension ref="A1:F57"/>
  <sheetViews>
    <sheetView workbookViewId="0"/>
  </sheetViews>
  <sheetFormatPr defaultRowHeight="17" x14ac:dyDescent="0.4"/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4">
      <c r="A2" t="s">
        <v>77</v>
      </c>
      <c r="B2">
        <v>45.6</v>
      </c>
      <c r="C2">
        <v>45.6</v>
      </c>
      <c r="D2">
        <v>45.25</v>
      </c>
      <c r="E2">
        <v>45.5</v>
      </c>
      <c r="F2" s="4">
        <v>8675</v>
      </c>
    </row>
    <row r="3" spans="1:6" x14ac:dyDescent="0.4">
      <c r="A3" t="s">
        <v>76</v>
      </c>
      <c r="B3">
        <v>45.05</v>
      </c>
      <c r="C3">
        <v>45.25</v>
      </c>
      <c r="D3">
        <v>44.8</v>
      </c>
      <c r="E3">
        <v>44.95</v>
      </c>
      <c r="F3" s="4">
        <v>16907</v>
      </c>
    </row>
    <row r="4" spans="1:6" x14ac:dyDescent="0.4">
      <c r="A4" t="s">
        <v>75</v>
      </c>
      <c r="B4">
        <v>44.85</v>
      </c>
      <c r="C4">
        <v>44.95</v>
      </c>
      <c r="D4">
        <v>44.7</v>
      </c>
      <c r="E4">
        <v>44.7</v>
      </c>
      <c r="F4" s="4">
        <v>13653</v>
      </c>
    </row>
    <row r="5" spans="1:6" x14ac:dyDescent="0.4">
      <c r="A5" t="s">
        <v>74</v>
      </c>
      <c r="B5">
        <v>44.7</v>
      </c>
      <c r="C5">
        <v>44.95</v>
      </c>
      <c r="D5">
        <v>44.7</v>
      </c>
      <c r="E5">
        <v>44.85</v>
      </c>
      <c r="F5" s="4">
        <v>9515</v>
      </c>
    </row>
    <row r="6" spans="1:6" x14ac:dyDescent="0.4">
      <c r="A6" t="s">
        <v>73</v>
      </c>
      <c r="B6">
        <v>44.9</v>
      </c>
      <c r="C6">
        <v>45.5</v>
      </c>
      <c r="D6">
        <v>44.85</v>
      </c>
      <c r="E6">
        <v>45.1</v>
      </c>
      <c r="F6" s="4">
        <v>14815</v>
      </c>
    </row>
    <row r="7" spans="1:6" x14ac:dyDescent="0.4">
      <c r="A7" t="s">
        <v>72</v>
      </c>
      <c r="B7">
        <v>45.1</v>
      </c>
      <c r="C7">
        <v>45.25</v>
      </c>
      <c r="D7">
        <v>44.75</v>
      </c>
      <c r="E7">
        <v>44.75</v>
      </c>
      <c r="F7" s="4">
        <v>12289</v>
      </c>
    </row>
    <row r="8" spans="1:6" x14ac:dyDescent="0.4">
      <c r="A8" t="s">
        <v>71</v>
      </c>
      <c r="B8">
        <v>45</v>
      </c>
      <c r="C8">
        <v>45.1</v>
      </c>
      <c r="D8">
        <v>44.7</v>
      </c>
      <c r="E8">
        <v>44.7</v>
      </c>
      <c r="F8" s="4">
        <v>7533</v>
      </c>
    </row>
    <row r="9" spans="1:6" x14ac:dyDescent="0.4">
      <c r="A9" t="s">
        <v>70</v>
      </c>
      <c r="B9">
        <v>44.6</v>
      </c>
      <c r="C9">
        <v>44.75</v>
      </c>
      <c r="D9">
        <v>44.4</v>
      </c>
      <c r="E9">
        <v>44.6</v>
      </c>
      <c r="F9" s="4">
        <v>14935</v>
      </c>
    </row>
    <row r="10" spans="1:6" x14ac:dyDescent="0.4">
      <c r="A10" t="s">
        <v>69</v>
      </c>
      <c r="B10">
        <v>44.5</v>
      </c>
      <c r="C10">
        <v>44.65</v>
      </c>
      <c r="D10">
        <v>44.5</v>
      </c>
      <c r="E10">
        <v>44.5</v>
      </c>
      <c r="F10" s="4">
        <v>11727</v>
      </c>
    </row>
    <row r="11" spans="1:6" x14ac:dyDescent="0.4">
      <c r="A11" t="s">
        <v>68</v>
      </c>
      <c r="B11">
        <v>44.65</v>
      </c>
      <c r="C11">
        <v>44.9</v>
      </c>
      <c r="D11">
        <v>44.45</v>
      </c>
      <c r="E11">
        <v>44.45</v>
      </c>
      <c r="F11" s="4">
        <v>17742</v>
      </c>
    </row>
    <row r="12" spans="1:6" x14ac:dyDescent="0.4">
      <c r="A12" t="s">
        <v>67</v>
      </c>
      <c r="B12">
        <v>44.3</v>
      </c>
      <c r="C12">
        <v>44.35</v>
      </c>
      <c r="D12">
        <v>43.7</v>
      </c>
      <c r="E12">
        <v>44</v>
      </c>
      <c r="F12" s="4">
        <v>29568</v>
      </c>
    </row>
    <row r="13" spans="1:6" x14ac:dyDescent="0.4">
      <c r="A13" t="s">
        <v>66</v>
      </c>
      <c r="B13">
        <v>43.8</v>
      </c>
      <c r="C13">
        <v>43.9</v>
      </c>
      <c r="D13">
        <v>43.3</v>
      </c>
      <c r="E13">
        <v>43.3</v>
      </c>
      <c r="F13" s="4">
        <v>37617</v>
      </c>
    </row>
    <row r="14" spans="1:6" x14ac:dyDescent="0.4">
      <c r="A14" t="s">
        <v>65</v>
      </c>
      <c r="B14">
        <v>43.25</v>
      </c>
      <c r="C14">
        <v>43.55</v>
      </c>
      <c r="D14">
        <v>43.1</v>
      </c>
      <c r="E14">
        <v>43.3</v>
      </c>
      <c r="F14" s="4">
        <v>16786</v>
      </c>
    </row>
    <row r="15" spans="1:6" x14ac:dyDescent="0.4">
      <c r="A15" t="s">
        <v>64</v>
      </c>
      <c r="B15">
        <v>43.15</v>
      </c>
      <c r="C15">
        <v>43.8</v>
      </c>
      <c r="D15">
        <v>43.15</v>
      </c>
      <c r="E15">
        <v>43.8</v>
      </c>
      <c r="F15" s="4">
        <v>18536</v>
      </c>
    </row>
    <row r="16" spans="1:6" x14ac:dyDescent="0.4">
      <c r="A16" t="s">
        <v>63</v>
      </c>
      <c r="B16">
        <v>43.9</v>
      </c>
      <c r="C16">
        <v>44</v>
      </c>
      <c r="D16">
        <v>43.85</v>
      </c>
      <c r="E16">
        <v>43.85</v>
      </c>
      <c r="F16" s="4">
        <v>9264</v>
      </c>
    </row>
    <row r="17" spans="1:6" x14ac:dyDescent="0.4">
      <c r="A17" t="s">
        <v>62</v>
      </c>
      <c r="B17">
        <v>44.2</v>
      </c>
      <c r="C17">
        <v>44.2</v>
      </c>
      <c r="D17">
        <v>43.85</v>
      </c>
      <c r="E17">
        <v>44.2</v>
      </c>
      <c r="F17" s="4">
        <v>10859</v>
      </c>
    </row>
    <row r="18" spans="1:6" x14ac:dyDescent="0.4">
      <c r="A18" t="s">
        <v>61</v>
      </c>
      <c r="B18">
        <v>44.15</v>
      </c>
      <c r="C18">
        <v>44.4</v>
      </c>
      <c r="D18">
        <v>44</v>
      </c>
      <c r="E18">
        <v>44.2</v>
      </c>
      <c r="F18" s="4">
        <v>12467</v>
      </c>
    </row>
    <row r="19" spans="1:6" x14ac:dyDescent="0.4">
      <c r="A19" t="s">
        <v>60</v>
      </c>
      <c r="B19">
        <v>44.2</v>
      </c>
      <c r="C19">
        <v>44.35</v>
      </c>
      <c r="D19">
        <v>44.15</v>
      </c>
      <c r="E19">
        <v>44.35</v>
      </c>
      <c r="F19" s="4">
        <v>11834</v>
      </c>
    </row>
    <row r="20" spans="1:6" x14ac:dyDescent="0.4">
      <c r="A20" t="s">
        <v>59</v>
      </c>
      <c r="B20">
        <v>44.3</v>
      </c>
      <c r="C20">
        <v>44.55</v>
      </c>
      <c r="D20">
        <v>44.25</v>
      </c>
      <c r="E20">
        <v>44.5</v>
      </c>
      <c r="F20" s="4">
        <v>12873</v>
      </c>
    </row>
    <row r="21" spans="1:6" x14ac:dyDescent="0.4">
      <c r="A21" t="s">
        <v>58</v>
      </c>
      <c r="B21">
        <v>44.3</v>
      </c>
      <c r="C21">
        <v>44.5</v>
      </c>
      <c r="D21">
        <v>44.25</v>
      </c>
      <c r="E21">
        <v>44.4</v>
      </c>
      <c r="F21" s="4">
        <v>10282</v>
      </c>
    </row>
    <row r="22" spans="1:6" x14ac:dyDescent="0.4">
      <c r="A22" t="s">
        <v>57</v>
      </c>
      <c r="B22">
        <v>44.4</v>
      </c>
      <c r="C22">
        <v>44.4</v>
      </c>
      <c r="D22">
        <v>43.9</v>
      </c>
      <c r="E22">
        <v>43.9</v>
      </c>
      <c r="F22" s="4">
        <v>15878</v>
      </c>
    </row>
    <row r="23" spans="1:6" x14ac:dyDescent="0.4">
      <c r="A23" t="s">
        <v>56</v>
      </c>
      <c r="B23">
        <v>43.9</v>
      </c>
      <c r="C23">
        <v>44.15</v>
      </c>
      <c r="D23">
        <v>43.8</v>
      </c>
      <c r="E23">
        <v>44.15</v>
      </c>
      <c r="F23" s="4">
        <v>13906</v>
      </c>
    </row>
    <row r="24" spans="1:6" x14ac:dyDescent="0.4">
      <c r="A24" t="s">
        <v>55</v>
      </c>
      <c r="B24">
        <v>44.4</v>
      </c>
      <c r="C24">
        <v>44.5</v>
      </c>
      <c r="D24">
        <v>44.2</v>
      </c>
      <c r="E24">
        <v>44.45</v>
      </c>
      <c r="F24" s="4">
        <v>11353</v>
      </c>
    </row>
    <row r="25" spans="1:6" x14ac:dyDescent="0.4">
      <c r="A25" t="s">
        <v>54</v>
      </c>
      <c r="B25">
        <v>44.4</v>
      </c>
      <c r="C25">
        <v>44.45</v>
      </c>
      <c r="D25">
        <v>44.05</v>
      </c>
      <c r="E25">
        <v>44.1</v>
      </c>
      <c r="F25" s="4">
        <v>10102</v>
      </c>
    </row>
    <row r="26" spans="1:6" x14ac:dyDescent="0.4">
      <c r="A26" t="s">
        <v>53</v>
      </c>
      <c r="B26">
        <v>43.9</v>
      </c>
      <c r="C26">
        <v>44.05</v>
      </c>
      <c r="D26">
        <v>43.7</v>
      </c>
      <c r="E26">
        <v>43.9</v>
      </c>
      <c r="F26" s="4">
        <v>17411</v>
      </c>
    </row>
    <row r="27" spans="1:6" x14ac:dyDescent="0.4">
      <c r="A27" t="s">
        <v>52</v>
      </c>
      <c r="B27">
        <v>44</v>
      </c>
      <c r="C27">
        <v>44.5</v>
      </c>
      <c r="D27">
        <v>43.95</v>
      </c>
      <c r="E27">
        <v>44.05</v>
      </c>
      <c r="F27" s="4">
        <v>19086</v>
      </c>
    </row>
    <row r="28" spans="1:6" x14ac:dyDescent="0.4">
      <c r="A28" t="s">
        <v>51</v>
      </c>
      <c r="B28">
        <v>44.3</v>
      </c>
      <c r="C28">
        <v>44.55</v>
      </c>
      <c r="D28">
        <v>44.2</v>
      </c>
      <c r="E28">
        <v>44.55</v>
      </c>
      <c r="F28" s="4">
        <v>10327</v>
      </c>
    </row>
    <row r="29" spans="1:6" x14ac:dyDescent="0.4">
      <c r="A29" t="s">
        <v>50</v>
      </c>
      <c r="B29">
        <v>44.6</v>
      </c>
      <c r="C29">
        <v>45.05</v>
      </c>
      <c r="D29">
        <v>44.55</v>
      </c>
      <c r="E29">
        <v>45</v>
      </c>
      <c r="F29" s="4">
        <v>21702</v>
      </c>
    </row>
    <row r="30" spans="1:6" x14ac:dyDescent="0.4">
      <c r="A30" t="s">
        <v>49</v>
      </c>
      <c r="B30">
        <v>45</v>
      </c>
      <c r="C30">
        <v>45.1</v>
      </c>
      <c r="D30">
        <v>44.8</v>
      </c>
      <c r="E30">
        <v>45.1</v>
      </c>
      <c r="F30" s="4">
        <v>12884</v>
      </c>
    </row>
    <row r="31" spans="1:6" x14ac:dyDescent="0.4">
      <c r="A31" t="s">
        <v>48</v>
      </c>
      <c r="B31">
        <v>45.05</v>
      </c>
      <c r="C31">
        <v>45.05</v>
      </c>
      <c r="D31">
        <v>44.7</v>
      </c>
      <c r="E31">
        <v>44.75</v>
      </c>
      <c r="F31" s="4">
        <v>14966</v>
      </c>
    </row>
    <row r="32" spans="1:6" x14ac:dyDescent="0.4">
      <c r="A32" t="s">
        <v>47</v>
      </c>
      <c r="B32">
        <v>44.75</v>
      </c>
      <c r="C32">
        <v>44.9</v>
      </c>
      <c r="D32">
        <v>44.7</v>
      </c>
      <c r="E32">
        <v>44.9</v>
      </c>
      <c r="F32" s="4">
        <v>9913</v>
      </c>
    </row>
    <row r="33" spans="1:6" x14ac:dyDescent="0.4">
      <c r="A33" t="s">
        <v>46</v>
      </c>
      <c r="B33">
        <v>44.8</v>
      </c>
      <c r="C33">
        <v>44.85</v>
      </c>
      <c r="D33">
        <v>44.45</v>
      </c>
      <c r="E33">
        <v>44.45</v>
      </c>
      <c r="F33" s="4">
        <v>14709</v>
      </c>
    </row>
    <row r="34" spans="1:6" x14ac:dyDescent="0.4">
      <c r="A34" t="s">
        <v>45</v>
      </c>
      <c r="B34">
        <v>44.35</v>
      </c>
      <c r="C34">
        <v>44.5</v>
      </c>
      <c r="D34">
        <v>44.3</v>
      </c>
      <c r="E34">
        <v>44.3</v>
      </c>
      <c r="F34" s="4">
        <v>17129</v>
      </c>
    </row>
    <row r="35" spans="1:6" x14ac:dyDescent="0.4">
      <c r="A35" t="s">
        <v>44</v>
      </c>
      <c r="B35">
        <v>44.3</v>
      </c>
      <c r="C35">
        <v>44.75</v>
      </c>
      <c r="D35">
        <v>44.2</v>
      </c>
      <c r="E35">
        <v>44.3</v>
      </c>
      <c r="F35" s="4">
        <v>17680</v>
      </c>
    </row>
    <row r="36" spans="1:6" x14ac:dyDescent="0.4">
      <c r="A36" t="s">
        <v>43</v>
      </c>
      <c r="B36">
        <v>44.3</v>
      </c>
      <c r="C36">
        <v>45.05</v>
      </c>
      <c r="D36">
        <v>44.25</v>
      </c>
      <c r="E36">
        <v>45.05</v>
      </c>
      <c r="F36" s="4">
        <v>27551</v>
      </c>
    </row>
    <row r="37" spans="1:6" x14ac:dyDescent="0.4">
      <c r="A37" t="s">
        <v>42</v>
      </c>
      <c r="B37">
        <v>45.05</v>
      </c>
      <c r="C37">
        <v>45.05</v>
      </c>
      <c r="D37">
        <v>44.65</v>
      </c>
      <c r="E37">
        <v>44.65</v>
      </c>
      <c r="F37" s="4">
        <v>12258</v>
      </c>
    </row>
    <row r="38" spans="1:6" x14ac:dyDescent="0.4">
      <c r="A38" t="s">
        <v>41</v>
      </c>
      <c r="B38">
        <v>44.65</v>
      </c>
      <c r="C38">
        <v>44.85</v>
      </c>
      <c r="D38">
        <v>44.6</v>
      </c>
      <c r="E38">
        <v>44.65</v>
      </c>
      <c r="F38" s="4">
        <v>16622</v>
      </c>
    </row>
    <row r="39" spans="1:6" x14ac:dyDescent="0.4">
      <c r="A39" t="s">
        <v>40</v>
      </c>
      <c r="B39">
        <v>44.65</v>
      </c>
      <c r="C39">
        <v>44.95</v>
      </c>
      <c r="D39">
        <v>44.65</v>
      </c>
      <c r="E39">
        <v>44.65</v>
      </c>
      <c r="F39" s="4">
        <v>12804</v>
      </c>
    </row>
    <row r="40" spans="1:6" x14ac:dyDescent="0.4">
      <c r="A40" t="s">
        <v>39</v>
      </c>
      <c r="B40">
        <v>44.65</v>
      </c>
      <c r="C40">
        <v>44.95</v>
      </c>
      <c r="D40">
        <v>44.55</v>
      </c>
      <c r="E40">
        <v>44.55</v>
      </c>
      <c r="F40" s="4">
        <v>17817</v>
      </c>
    </row>
    <row r="41" spans="1:6" x14ac:dyDescent="0.4">
      <c r="A41" t="s">
        <v>38</v>
      </c>
      <c r="B41">
        <v>44.6</v>
      </c>
      <c r="C41">
        <v>45</v>
      </c>
      <c r="D41">
        <v>44.55</v>
      </c>
      <c r="E41">
        <v>44.85</v>
      </c>
      <c r="F41" s="4">
        <v>19312</v>
      </c>
    </row>
    <row r="42" spans="1:6" x14ac:dyDescent="0.4">
      <c r="A42" t="s">
        <v>37</v>
      </c>
      <c r="B42">
        <v>44.8</v>
      </c>
      <c r="C42">
        <v>45.3</v>
      </c>
      <c r="D42">
        <v>44.75</v>
      </c>
      <c r="E42">
        <v>45.3</v>
      </c>
      <c r="F42" s="4">
        <v>41438</v>
      </c>
    </row>
    <row r="43" spans="1:6" x14ac:dyDescent="0.4">
      <c r="A43" t="s">
        <v>36</v>
      </c>
      <c r="B43">
        <v>45.9</v>
      </c>
      <c r="C43">
        <v>46.5</v>
      </c>
      <c r="D43">
        <v>45.7</v>
      </c>
      <c r="E43">
        <v>46.05</v>
      </c>
      <c r="F43" s="4">
        <v>53143</v>
      </c>
    </row>
    <row r="44" spans="1:6" x14ac:dyDescent="0.4">
      <c r="A44" t="s">
        <v>35</v>
      </c>
      <c r="B44">
        <v>46.1</v>
      </c>
      <c r="C44">
        <v>46.5</v>
      </c>
      <c r="D44">
        <v>46</v>
      </c>
      <c r="E44">
        <v>46.5</v>
      </c>
      <c r="F44" s="4">
        <v>39524</v>
      </c>
    </row>
    <row r="45" spans="1:6" x14ac:dyDescent="0.4">
      <c r="A45" t="s">
        <v>34</v>
      </c>
      <c r="B45">
        <v>46.55</v>
      </c>
      <c r="C45">
        <v>46.85</v>
      </c>
      <c r="D45">
        <v>46.45</v>
      </c>
      <c r="E45">
        <v>46.8</v>
      </c>
      <c r="F45" s="4">
        <v>36491</v>
      </c>
    </row>
    <row r="46" spans="1:6" x14ac:dyDescent="0.4">
      <c r="A46" t="s">
        <v>33</v>
      </c>
      <c r="B46">
        <v>46.9</v>
      </c>
      <c r="C46">
        <v>48.4</v>
      </c>
      <c r="D46">
        <v>46.9</v>
      </c>
      <c r="E46">
        <v>48.3</v>
      </c>
      <c r="F46" s="4">
        <v>74647</v>
      </c>
    </row>
    <row r="47" spans="1:6" x14ac:dyDescent="0.4">
      <c r="A47" t="s">
        <v>32</v>
      </c>
      <c r="B47">
        <v>48.5</v>
      </c>
      <c r="C47">
        <v>48.5</v>
      </c>
      <c r="D47">
        <v>47.3</v>
      </c>
      <c r="E47">
        <v>47.65</v>
      </c>
      <c r="F47" s="4">
        <v>67353</v>
      </c>
    </row>
    <row r="48" spans="1:6" x14ac:dyDescent="0.4">
      <c r="A48" t="s">
        <v>31</v>
      </c>
      <c r="B48">
        <v>47.7</v>
      </c>
      <c r="C48">
        <v>48.15</v>
      </c>
      <c r="D48">
        <v>47.25</v>
      </c>
      <c r="E48">
        <v>47.55</v>
      </c>
      <c r="F48" s="4">
        <v>25429</v>
      </c>
    </row>
    <row r="49" spans="1:6" x14ac:dyDescent="0.4">
      <c r="A49" t="s">
        <v>30</v>
      </c>
      <c r="B49">
        <v>47.35</v>
      </c>
      <c r="C49">
        <v>48</v>
      </c>
      <c r="D49">
        <v>47.15</v>
      </c>
      <c r="E49">
        <v>47.75</v>
      </c>
      <c r="F49" s="4">
        <v>20733</v>
      </c>
    </row>
    <row r="50" spans="1:6" x14ac:dyDescent="0.4">
      <c r="A50" t="s">
        <v>29</v>
      </c>
      <c r="B50">
        <v>47.75</v>
      </c>
      <c r="C50">
        <v>47.95</v>
      </c>
      <c r="D50">
        <v>47.45</v>
      </c>
      <c r="E50">
        <v>47.5</v>
      </c>
      <c r="F50" s="4">
        <v>19753</v>
      </c>
    </row>
    <row r="51" spans="1:6" x14ac:dyDescent="0.4">
      <c r="A51" t="s">
        <v>28</v>
      </c>
      <c r="B51">
        <v>47.7</v>
      </c>
      <c r="C51">
        <v>48.65</v>
      </c>
      <c r="D51">
        <v>47.7</v>
      </c>
      <c r="E51">
        <v>48.55</v>
      </c>
      <c r="F51" s="4">
        <v>44855</v>
      </c>
    </row>
    <row r="52" spans="1:6" x14ac:dyDescent="0.4">
      <c r="A52" t="s">
        <v>27</v>
      </c>
      <c r="B52">
        <v>48.9</v>
      </c>
      <c r="C52">
        <v>49.3</v>
      </c>
      <c r="D52">
        <v>48.2</v>
      </c>
      <c r="E52">
        <v>48.55</v>
      </c>
      <c r="F52" s="4">
        <v>36455</v>
      </c>
    </row>
    <row r="53" spans="1:6" x14ac:dyDescent="0.4">
      <c r="A53" t="s">
        <v>26</v>
      </c>
      <c r="B53">
        <v>48.6</v>
      </c>
      <c r="C53">
        <v>48.6</v>
      </c>
      <c r="D53">
        <v>47.8</v>
      </c>
      <c r="E53">
        <v>48.1</v>
      </c>
      <c r="F53" s="4">
        <v>23309</v>
      </c>
    </row>
    <row r="54" spans="1:6" x14ac:dyDescent="0.4">
      <c r="A54" t="s">
        <v>25</v>
      </c>
      <c r="B54">
        <v>47.9</v>
      </c>
      <c r="C54">
        <v>48.45</v>
      </c>
      <c r="D54">
        <v>47.85</v>
      </c>
      <c r="E54">
        <v>48.35</v>
      </c>
      <c r="F54" s="4">
        <v>15741</v>
      </c>
    </row>
    <row r="55" spans="1:6" x14ac:dyDescent="0.4">
      <c r="A55" t="s">
        <v>24</v>
      </c>
      <c r="B55">
        <v>48.1</v>
      </c>
      <c r="C55">
        <v>48.35</v>
      </c>
      <c r="D55">
        <v>48.05</v>
      </c>
      <c r="E55">
        <v>48.2</v>
      </c>
      <c r="F55" s="4">
        <v>10683</v>
      </c>
    </row>
    <row r="56" spans="1:6" x14ac:dyDescent="0.4">
      <c r="A56" t="s">
        <v>23</v>
      </c>
      <c r="B56">
        <v>48.4</v>
      </c>
      <c r="C56">
        <v>48.45</v>
      </c>
      <c r="D56">
        <v>48</v>
      </c>
      <c r="E56">
        <v>48.25</v>
      </c>
      <c r="F56" s="4">
        <v>13617</v>
      </c>
    </row>
    <row r="57" spans="1:6" x14ac:dyDescent="0.4">
      <c r="A57" t="s">
        <v>22</v>
      </c>
      <c r="B57">
        <v>48.25</v>
      </c>
      <c r="C57">
        <v>48.7</v>
      </c>
      <c r="D57">
        <v>48.15</v>
      </c>
      <c r="E57">
        <v>48.65</v>
      </c>
      <c r="F57" s="4">
        <v>16703</v>
      </c>
    </row>
  </sheetData>
  <sortState xmlns:xlrd2="http://schemas.microsoft.com/office/spreadsheetml/2017/richdata2" ref="A2:F65">
    <sortCondition ref="A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54F7-D63B-45A3-A101-E47FDC1BA737}">
  <sheetPr codeName="工作表18"/>
  <dimension ref="A1:F57"/>
  <sheetViews>
    <sheetView workbookViewId="0"/>
  </sheetViews>
  <sheetFormatPr defaultRowHeight="17" x14ac:dyDescent="0.4"/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4">
      <c r="A2" t="s">
        <v>77</v>
      </c>
      <c r="B2">
        <v>590</v>
      </c>
      <c r="C2">
        <v>593</v>
      </c>
      <c r="D2">
        <v>589</v>
      </c>
      <c r="E2">
        <v>593</v>
      </c>
      <c r="F2" s="4">
        <v>26450</v>
      </c>
    </row>
    <row r="3" spans="1:6" x14ac:dyDescent="0.4">
      <c r="A3" t="s">
        <v>76</v>
      </c>
      <c r="B3">
        <v>584</v>
      </c>
      <c r="C3">
        <v>585</v>
      </c>
      <c r="D3">
        <v>576</v>
      </c>
      <c r="E3">
        <v>578</v>
      </c>
      <c r="F3" s="4">
        <v>38697</v>
      </c>
    </row>
    <row r="4" spans="1:6" x14ac:dyDescent="0.4">
      <c r="A4" t="s">
        <v>75</v>
      </c>
      <c r="B4">
        <v>580</v>
      </c>
      <c r="C4">
        <v>581</v>
      </c>
      <c r="D4">
        <v>577</v>
      </c>
      <c r="E4">
        <v>580</v>
      </c>
      <c r="F4" s="4">
        <v>15565</v>
      </c>
    </row>
    <row r="5" spans="1:6" x14ac:dyDescent="0.4">
      <c r="A5" t="s">
        <v>74</v>
      </c>
      <c r="B5">
        <v>578</v>
      </c>
      <c r="C5">
        <v>580</v>
      </c>
      <c r="D5">
        <v>574</v>
      </c>
      <c r="E5">
        <v>576</v>
      </c>
      <c r="F5" s="4">
        <v>18923</v>
      </c>
    </row>
    <row r="6" spans="1:6" x14ac:dyDescent="0.4">
      <c r="A6" t="s">
        <v>73</v>
      </c>
      <c r="B6">
        <v>582</v>
      </c>
      <c r="C6">
        <v>585</v>
      </c>
      <c r="D6">
        <v>579</v>
      </c>
      <c r="E6">
        <v>583</v>
      </c>
      <c r="F6" s="4">
        <v>18354</v>
      </c>
    </row>
    <row r="7" spans="1:6" x14ac:dyDescent="0.4">
      <c r="A7" t="s">
        <v>72</v>
      </c>
      <c r="B7">
        <v>588</v>
      </c>
      <c r="C7">
        <v>589</v>
      </c>
      <c r="D7">
        <v>583</v>
      </c>
      <c r="E7">
        <v>586</v>
      </c>
      <c r="F7" s="4">
        <v>23253</v>
      </c>
    </row>
    <row r="8" spans="1:6" x14ac:dyDescent="0.4">
      <c r="A8" t="s">
        <v>71</v>
      </c>
      <c r="B8">
        <v>581</v>
      </c>
      <c r="C8">
        <v>586</v>
      </c>
      <c r="D8">
        <v>580</v>
      </c>
      <c r="E8">
        <v>584</v>
      </c>
      <c r="F8" s="4">
        <v>13474</v>
      </c>
    </row>
    <row r="9" spans="1:6" x14ac:dyDescent="0.4">
      <c r="A9" t="s">
        <v>70</v>
      </c>
      <c r="B9">
        <v>586</v>
      </c>
      <c r="C9">
        <v>589</v>
      </c>
      <c r="D9">
        <v>583</v>
      </c>
      <c r="E9">
        <v>586</v>
      </c>
      <c r="F9" s="4">
        <v>24587</v>
      </c>
    </row>
    <row r="10" spans="1:6" x14ac:dyDescent="0.4">
      <c r="A10" t="s">
        <v>69</v>
      </c>
      <c r="B10">
        <v>581</v>
      </c>
      <c r="C10">
        <v>588</v>
      </c>
      <c r="D10">
        <v>581</v>
      </c>
      <c r="E10">
        <v>584</v>
      </c>
      <c r="F10" s="4">
        <v>16846</v>
      </c>
    </row>
    <row r="11" spans="1:6" x14ac:dyDescent="0.4">
      <c r="A11" t="s">
        <v>68</v>
      </c>
      <c r="B11">
        <v>590</v>
      </c>
      <c r="C11">
        <v>590</v>
      </c>
      <c r="D11">
        <v>585</v>
      </c>
      <c r="E11">
        <v>586</v>
      </c>
      <c r="F11" s="4">
        <v>21750</v>
      </c>
    </row>
    <row r="12" spans="1:6" x14ac:dyDescent="0.4">
      <c r="A12" t="s">
        <v>67</v>
      </c>
      <c r="B12">
        <v>581</v>
      </c>
      <c r="C12">
        <v>588</v>
      </c>
      <c r="D12">
        <v>579</v>
      </c>
      <c r="E12">
        <v>580</v>
      </c>
      <c r="F12" s="4">
        <v>27669</v>
      </c>
    </row>
    <row r="13" spans="1:6" x14ac:dyDescent="0.4">
      <c r="A13" t="s">
        <v>66</v>
      </c>
      <c r="B13">
        <v>583</v>
      </c>
      <c r="C13">
        <v>584</v>
      </c>
      <c r="D13">
        <v>578</v>
      </c>
      <c r="E13">
        <v>581</v>
      </c>
      <c r="F13" s="4">
        <v>43077</v>
      </c>
    </row>
    <row r="14" spans="1:6" x14ac:dyDescent="0.4">
      <c r="A14" t="s">
        <v>65</v>
      </c>
      <c r="B14">
        <v>586</v>
      </c>
      <c r="C14">
        <v>589</v>
      </c>
      <c r="D14">
        <v>585</v>
      </c>
      <c r="E14">
        <v>588</v>
      </c>
      <c r="F14" s="4">
        <v>27053</v>
      </c>
    </row>
    <row r="15" spans="1:6" x14ac:dyDescent="0.4">
      <c r="A15" t="s">
        <v>64</v>
      </c>
      <c r="B15">
        <v>625</v>
      </c>
      <c r="C15">
        <v>627</v>
      </c>
      <c r="D15">
        <v>614</v>
      </c>
      <c r="E15">
        <v>626</v>
      </c>
      <c r="F15" s="4">
        <v>160800</v>
      </c>
    </row>
    <row r="16" spans="1:6" x14ac:dyDescent="0.4">
      <c r="A16" t="s">
        <v>63</v>
      </c>
      <c r="B16">
        <v>633</v>
      </c>
      <c r="C16">
        <v>633</v>
      </c>
      <c r="D16">
        <v>623</v>
      </c>
      <c r="E16">
        <v>626</v>
      </c>
      <c r="F16" s="4">
        <v>67103</v>
      </c>
    </row>
    <row r="17" spans="1:6" x14ac:dyDescent="0.4">
      <c r="A17" t="s">
        <v>62</v>
      </c>
      <c r="B17">
        <v>629</v>
      </c>
      <c r="C17">
        <v>629</v>
      </c>
      <c r="D17">
        <v>622</v>
      </c>
      <c r="E17">
        <v>628</v>
      </c>
      <c r="F17" s="4">
        <v>42143</v>
      </c>
    </row>
    <row r="18" spans="1:6" x14ac:dyDescent="0.4">
      <c r="A18" t="s">
        <v>61</v>
      </c>
      <c r="B18">
        <v>628</v>
      </c>
      <c r="C18">
        <v>630</v>
      </c>
      <c r="D18">
        <v>624</v>
      </c>
      <c r="E18">
        <v>627</v>
      </c>
      <c r="F18" s="4">
        <v>27432</v>
      </c>
    </row>
    <row r="19" spans="1:6" x14ac:dyDescent="0.4">
      <c r="A19" t="s">
        <v>60</v>
      </c>
      <c r="B19">
        <v>635</v>
      </c>
      <c r="C19">
        <v>642</v>
      </c>
      <c r="D19">
        <v>633</v>
      </c>
      <c r="E19">
        <v>642</v>
      </c>
      <c r="F19" s="4">
        <v>55985</v>
      </c>
    </row>
    <row r="20" spans="1:6" x14ac:dyDescent="0.4">
      <c r="A20" t="s">
        <v>59</v>
      </c>
      <c r="B20">
        <v>644</v>
      </c>
      <c r="C20">
        <v>646</v>
      </c>
      <c r="D20">
        <v>639</v>
      </c>
      <c r="E20">
        <v>644</v>
      </c>
      <c r="F20" s="4">
        <v>42644</v>
      </c>
    </row>
    <row r="21" spans="1:6" x14ac:dyDescent="0.4">
      <c r="A21" t="s">
        <v>58</v>
      </c>
      <c r="B21">
        <v>646</v>
      </c>
      <c r="C21">
        <v>648</v>
      </c>
      <c r="D21">
        <v>644</v>
      </c>
      <c r="E21">
        <v>648</v>
      </c>
      <c r="F21" s="4">
        <v>28925</v>
      </c>
    </row>
    <row r="22" spans="1:6" x14ac:dyDescent="0.4">
      <c r="A22" t="s">
        <v>57</v>
      </c>
      <c r="B22">
        <v>642</v>
      </c>
      <c r="C22">
        <v>647</v>
      </c>
      <c r="D22">
        <v>642</v>
      </c>
      <c r="E22">
        <v>642</v>
      </c>
      <c r="F22" s="4">
        <v>37152</v>
      </c>
    </row>
    <row r="23" spans="1:6" x14ac:dyDescent="0.4">
      <c r="A23" t="s">
        <v>56</v>
      </c>
      <c r="B23">
        <v>634</v>
      </c>
      <c r="C23">
        <v>637</v>
      </c>
      <c r="D23">
        <v>626</v>
      </c>
      <c r="E23">
        <v>628</v>
      </c>
      <c r="F23" s="4">
        <v>42903</v>
      </c>
    </row>
    <row r="24" spans="1:6" x14ac:dyDescent="0.4">
      <c r="A24" t="s">
        <v>55</v>
      </c>
      <c r="B24">
        <v>625</v>
      </c>
      <c r="C24">
        <v>628</v>
      </c>
      <c r="D24">
        <v>619</v>
      </c>
      <c r="E24">
        <v>628</v>
      </c>
      <c r="F24" s="4">
        <v>45894</v>
      </c>
    </row>
    <row r="25" spans="1:6" x14ac:dyDescent="0.4">
      <c r="A25" t="s">
        <v>54</v>
      </c>
      <c r="B25">
        <v>633</v>
      </c>
      <c r="C25">
        <v>635</v>
      </c>
      <c r="D25">
        <v>628</v>
      </c>
      <c r="E25">
        <v>635</v>
      </c>
      <c r="F25" s="4">
        <v>26759</v>
      </c>
    </row>
    <row r="26" spans="1:6" x14ac:dyDescent="0.4">
      <c r="A26" t="s">
        <v>53</v>
      </c>
      <c r="B26">
        <v>645</v>
      </c>
      <c r="C26">
        <v>647</v>
      </c>
      <c r="D26">
        <v>638</v>
      </c>
      <c r="E26">
        <v>646</v>
      </c>
      <c r="F26" s="4">
        <v>45929</v>
      </c>
    </row>
    <row r="27" spans="1:6" x14ac:dyDescent="0.4">
      <c r="A27" t="s">
        <v>52</v>
      </c>
      <c r="B27">
        <v>709</v>
      </c>
      <c r="C27">
        <v>709</v>
      </c>
      <c r="D27">
        <v>693</v>
      </c>
      <c r="E27">
        <v>697</v>
      </c>
      <c r="F27" s="4">
        <v>118216</v>
      </c>
    </row>
    <row r="28" spans="1:6" x14ac:dyDescent="0.4">
      <c r="A28" t="s">
        <v>51</v>
      </c>
      <c r="B28">
        <v>697</v>
      </c>
      <c r="C28">
        <v>699</v>
      </c>
      <c r="D28">
        <v>683</v>
      </c>
      <c r="E28">
        <v>683</v>
      </c>
      <c r="F28" s="4">
        <v>45346</v>
      </c>
    </row>
    <row r="29" spans="1:6" x14ac:dyDescent="0.4">
      <c r="A29" t="s">
        <v>50</v>
      </c>
      <c r="B29">
        <v>674</v>
      </c>
      <c r="C29">
        <v>682</v>
      </c>
      <c r="D29">
        <v>674</v>
      </c>
      <c r="E29">
        <v>678</v>
      </c>
      <c r="F29" s="4">
        <v>35158</v>
      </c>
    </row>
    <row r="30" spans="1:6" x14ac:dyDescent="0.4">
      <c r="A30" t="s">
        <v>49</v>
      </c>
      <c r="B30">
        <v>675</v>
      </c>
      <c r="C30">
        <v>688</v>
      </c>
      <c r="D30">
        <v>675</v>
      </c>
      <c r="E30">
        <v>687</v>
      </c>
      <c r="F30" s="4">
        <v>30897</v>
      </c>
    </row>
    <row r="31" spans="1:6" x14ac:dyDescent="0.4">
      <c r="A31" t="s">
        <v>48</v>
      </c>
      <c r="B31">
        <v>678</v>
      </c>
      <c r="C31">
        <v>683</v>
      </c>
      <c r="D31">
        <v>678</v>
      </c>
      <c r="E31">
        <v>681</v>
      </c>
      <c r="F31" s="4">
        <v>31417</v>
      </c>
    </row>
    <row r="32" spans="1:6" x14ac:dyDescent="0.4">
      <c r="A32" t="s">
        <v>47</v>
      </c>
      <c r="B32">
        <v>695</v>
      </c>
      <c r="C32">
        <v>695</v>
      </c>
      <c r="D32">
        <v>685</v>
      </c>
      <c r="E32">
        <v>692</v>
      </c>
      <c r="F32" s="4">
        <v>34122</v>
      </c>
    </row>
    <row r="33" spans="1:6" x14ac:dyDescent="0.4">
      <c r="A33" t="s">
        <v>46</v>
      </c>
      <c r="B33">
        <v>701</v>
      </c>
      <c r="C33">
        <v>703</v>
      </c>
      <c r="D33">
        <v>696</v>
      </c>
      <c r="E33">
        <v>697</v>
      </c>
      <c r="F33" s="4">
        <v>47810</v>
      </c>
    </row>
    <row r="34" spans="1:6" x14ac:dyDescent="0.4">
      <c r="A34" t="s">
        <v>45</v>
      </c>
      <c r="B34">
        <v>700</v>
      </c>
      <c r="C34">
        <v>700</v>
      </c>
      <c r="D34">
        <v>695</v>
      </c>
      <c r="E34">
        <v>698</v>
      </c>
      <c r="F34" s="4">
        <v>29263</v>
      </c>
    </row>
    <row r="35" spans="1:6" x14ac:dyDescent="0.4">
      <c r="A35" t="s">
        <v>44</v>
      </c>
      <c r="B35">
        <v>700</v>
      </c>
      <c r="C35">
        <v>701</v>
      </c>
      <c r="D35">
        <v>691</v>
      </c>
      <c r="E35">
        <v>698</v>
      </c>
      <c r="F35" s="4">
        <v>33645</v>
      </c>
    </row>
    <row r="36" spans="1:6" x14ac:dyDescent="0.4">
      <c r="A36" t="s">
        <v>43</v>
      </c>
      <c r="B36">
        <v>691</v>
      </c>
      <c r="C36">
        <v>698</v>
      </c>
      <c r="D36">
        <v>688</v>
      </c>
      <c r="E36">
        <v>690</v>
      </c>
      <c r="F36" s="4">
        <v>55159</v>
      </c>
    </row>
    <row r="37" spans="1:6" x14ac:dyDescent="0.4">
      <c r="A37" t="s">
        <v>42</v>
      </c>
      <c r="B37">
        <v>697</v>
      </c>
      <c r="C37">
        <v>697</v>
      </c>
      <c r="D37">
        <v>688</v>
      </c>
      <c r="E37">
        <v>689</v>
      </c>
      <c r="F37" s="4">
        <v>23950</v>
      </c>
    </row>
    <row r="38" spans="1:6" x14ac:dyDescent="0.4">
      <c r="A38" t="s">
        <v>41</v>
      </c>
      <c r="B38">
        <v>714</v>
      </c>
      <c r="C38">
        <v>725</v>
      </c>
      <c r="D38">
        <v>711</v>
      </c>
      <c r="E38">
        <v>725</v>
      </c>
      <c r="F38" s="4">
        <v>94175</v>
      </c>
    </row>
    <row r="39" spans="1:6" x14ac:dyDescent="0.4">
      <c r="A39" t="s">
        <v>40</v>
      </c>
      <c r="B39">
        <v>735</v>
      </c>
      <c r="C39">
        <v>738</v>
      </c>
      <c r="D39">
        <v>728</v>
      </c>
      <c r="E39">
        <v>730</v>
      </c>
      <c r="F39" s="4">
        <v>66103</v>
      </c>
    </row>
    <row r="40" spans="1:6" x14ac:dyDescent="0.4">
      <c r="A40" t="s">
        <v>39</v>
      </c>
      <c r="B40">
        <v>718</v>
      </c>
      <c r="C40">
        <v>738</v>
      </c>
      <c r="D40">
        <v>717</v>
      </c>
      <c r="E40">
        <v>735</v>
      </c>
      <c r="F40" s="4">
        <v>44807</v>
      </c>
    </row>
    <row r="41" spans="1:6" x14ac:dyDescent="0.4">
      <c r="A41" t="s">
        <v>38</v>
      </c>
      <c r="B41">
        <v>755</v>
      </c>
      <c r="C41">
        <v>769</v>
      </c>
      <c r="D41">
        <v>754</v>
      </c>
      <c r="E41">
        <v>760</v>
      </c>
      <c r="F41" s="4">
        <v>74510</v>
      </c>
    </row>
    <row r="42" spans="1:6" x14ac:dyDescent="0.4">
      <c r="A42" t="s">
        <v>37</v>
      </c>
      <c r="B42">
        <v>795</v>
      </c>
      <c r="C42">
        <v>796</v>
      </c>
      <c r="D42">
        <v>772</v>
      </c>
      <c r="E42">
        <v>784</v>
      </c>
      <c r="F42" s="4">
        <v>89780</v>
      </c>
    </row>
    <row r="43" spans="1:6" x14ac:dyDescent="0.4">
      <c r="A43" t="s">
        <v>36</v>
      </c>
      <c r="B43">
        <v>768</v>
      </c>
      <c r="C43">
        <v>778</v>
      </c>
      <c r="D43">
        <v>761</v>
      </c>
      <c r="E43">
        <v>766</v>
      </c>
      <c r="F43" s="4">
        <v>67293</v>
      </c>
    </row>
    <row r="44" spans="1:6" x14ac:dyDescent="0.4">
      <c r="A44" t="s">
        <v>35</v>
      </c>
      <c r="B44">
        <v>757</v>
      </c>
      <c r="C44">
        <v>771</v>
      </c>
      <c r="D44">
        <v>754</v>
      </c>
      <c r="E44">
        <v>770</v>
      </c>
      <c r="F44" s="4">
        <v>58016</v>
      </c>
    </row>
    <row r="45" spans="1:6" x14ac:dyDescent="0.4">
      <c r="A45" t="s">
        <v>34</v>
      </c>
      <c r="B45">
        <v>785</v>
      </c>
      <c r="C45">
        <v>785</v>
      </c>
      <c r="D45">
        <v>777</v>
      </c>
      <c r="E45">
        <v>779</v>
      </c>
      <c r="F45" s="4">
        <v>37524</v>
      </c>
    </row>
    <row r="46" spans="1:6" x14ac:dyDescent="0.4">
      <c r="A46" t="s">
        <v>33</v>
      </c>
      <c r="B46">
        <v>779</v>
      </c>
      <c r="C46">
        <v>785</v>
      </c>
      <c r="D46">
        <v>770</v>
      </c>
      <c r="E46">
        <v>784</v>
      </c>
      <c r="F46" s="4">
        <v>42632</v>
      </c>
    </row>
    <row r="47" spans="1:6" x14ac:dyDescent="0.4">
      <c r="A47" t="s">
        <v>32</v>
      </c>
      <c r="B47">
        <v>771</v>
      </c>
      <c r="C47">
        <v>777</v>
      </c>
      <c r="D47">
        <v>753</v>
      </c>
      <c r="E47">
        <v>753</v>
      </c>
      <c r="F47" s="4">
        <v>75644</v>
      </c>
    </row>
    <row r="48" spans="1:6" x14ac:dyDescent="0.4">
      <c r="A48" t="s">
        <v>31</v>
      </c>
      <c r="B48">
        <v>754</v>
      </c>
      <c r="C48">
        <v>765</v>
      </c>
      <c r="D48">
        <v>754</v>
      </c>
      <c r="E48">
        <v>764</v>
      </c>
      <c r="F48" s="4">
        <v>43509</v>
      </c>
    </row>
    <row r="49" spans="1:6" x14ac:dyDescent="0.4">
      <c r="A49" t="s">
        <v>30</v>
      </c>
      <c r="B49">
        <v>758</v>
      </c>
      <c r="C49">
        <v>765</v>
      </c>
      <c r="D49">
        <v>755</v>
      </c>
      <c r="E49">
        <v>762</v>
      </c>
      <c r="F49" s="4">
        <v>30760</v>
      </c>
    </row>
    <row r="50" spans="1:6" x14ac:dyDescent="0.4">
      <c r="A50" t="s">
        <v>29</v>
      </c>
      <c r="B50">
        <v>764</v>
      </c>
      <c r="C50">
        <v>769</v>
      </c>
      <c r="D50">
        <v>752</v>
      </c>
      <c r="E50">
        <v>758</v>
      </c>
      <c r="F50" s="4">
        <v>42260</v>
      </c>
    </row>
    <row r="51" spans="1:6" x14ac:dyDescent="0.4">
      <c r="A51" t="s">
        <v>28</v>
      </c>
      <c r="B51">
        <v>773</v>
      </c>
      <c r="C51">
        <v>784</v>
      </c>
      <c r="D51">
        <v>772</v>
      </c>
      <c r="E51">
        <v>784</v>
      </c>
      <c r="F51" s="4">
        <v>47368</v>
      </c>
    </row>
    <row r="52" spans="1:6" x14ac:dyDescent="0.4">
      <c r="A52" t="s">
        <v>27</v>
      </c>
      <c r="B52">
        <v>788</v>
      </c>
      <c r="C52">
        <v>789</v>
      </c>
      <c r="D52">
        <v>775</v>
      </c>
      <c r="E52">
        <v>785</v>
      </c>
      <c r="F52" s="4">
        <v>31223</v>
      </c>
    </row>
    <row r="53" spans="1:6" x14ac:dyDescent="0.4">
      <c r="A53" t="s">
        <v>26</v>
      </c>
      <c r="B53">
        <v>783</v>
      </c>
      <c r="C53">
        <v>788</v>
      </c>
      <c r="D53">
        <v>779</v>
      </c>
      <c r="E53">
        <v>780</v>
      </c>
      <c r="F53" s="4">
        <v>20332</v>
      </c>
    </row>
    <row r="54" spans="1:6" x14ac:dyDescent="0.4">
      <c r="A54" t="s">
        <v>25</v>
      </c>
      <c r="B54">
        <v>788</v>
      </c>
      <c r="C54">
        <v>792</v>
      </c>
      <c r="D54">
        <v>776</v>
      </c>
      <c r="E54">
        <v>782</v>
      </c>
      <c r="F54" s="4">
        <v>41729</v>
      </c>
    </row>
    <row r="55" spans="1:6" x14ac:dyDescent="0.4">
      <c r="A55" t="s">
        <v>24</v>
      </c>
      <c r="B55">
        <v>785</v>
      </c>
      <c r="C55">
        <v>785</v>
      </c>
      <c r="D55">
        <v>779</v>
      </c>
      <c r="E55">
        <v>779</v>
      </c>
      <c r="F55" s="4">
        <v>19178</v>
      </c>
    </row>
    <row r="56" spans="1:6" x14ac:dyDescent="0.4">
      <c r="A56" t="s">
        <v>23</v>
      </c>
      <c r="B56">
        <v>774</v>
      </c>
      <c r="C56">
        <v>776</v>
      </c>
      <c r="D56">
        <v>768</v>
      </c>
      <c r="E56">
        <v>769</v>
      </c>
      <c r="F56" s="4">
        <v>28058</v>
      </c>
    </row>
    <row r="57" spans="1:6" x14ac:dyDescent="0.4">
      <c r="A57" t="s">
        <v>22</v>
      </c>
      <c r="B57">
        <v>769</v>
      </c>
      <c r="C57">
        <v>781</v>
      </c>
      <c r="D57">
        <v>768</v>
      </c>
      <c r="E57">
        <v>779</v>
      </c>
      <c r="F57" s="4">
        <v>18313</v>
      </c>
    </row>
  </sheetData>
  <sortState xmlns:xlrd2="http://schemas.microsoft.com/office/spreadsheetml/2017/richdata2" ref="A2:F65">
    <sortCondition ref="A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FB22D-4F87-4710-BF5B-6753FBE1D3EA}">
  <sheetPr codeName="工作表19"/>
  <dimension ref="A1:F57"/>
  <sheetViews>
    <sheetView workbookViewId="0"/>
  </sheetViews>
  <sheetFormatPr defaultRowHeight="17" x14ac:dyDescent="0.4"/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4">
      <c r="A2" t="s">
        <v>77</v>
      </c>
      <c r="B2">
        <v>21.8</v>
      </c>
      <c r="C2">
        <v>21.87</v>
      </c>
      <c r="D2">
        <v>21.5</v>
      </c>
      <c r="E2">
        <v>21.56</v>
      </c>
      <c r="F2" s="4">
        <v>69029</v>
      </c>
    </row>
    <row r="3" spans="1:6" x14ac:dyDescent="0.4">
      <c r="A3" t="s">
        <v>76</v>
      </c>
      <c r="B3">
        <v>21.36</v>
      </c>
      <c r="C3">
        <v>21.38</v>
      </c>
      <c r="D3">
        <v>21.2</v>
      </c>
      <c r="E3">
        <v>21.25</v>
      </c>
      <c r="F3" s="4">
        <v>92571</v>
      </c>
    </row>
    <row r="4" spans="1:6" x14ac:dyDescent="0.4">
      <c r="A4" t="s">
        <v>75</v>
      </c>
      <c r="B4">
        <v>21.2</v>
      </c>
      <c r="C4">
        <v>21.26</v>
      </c>
      <c r="D4">
        <v>21.16</v>
      </c>
      <c r="E4">
        <v>21.21</v>
      </c>
      <c r="F4" s="4">
        <v>31254</v>
      </c>
    </row>
    <row r="5" spans="1:6" x14ac:dyDescent="0.4">
      <c r="A5" t="s">
        <v>74</v>
      </c>
      <c r="B5">
        <v>21.21</v>
      </c>
      <c r="C5">
        <v>21.32</v>
      </c>
      <c r="D5">
        <v>21.18</v>
      </c>
      <c r="E5">
        <v>21.2</v>
      </c>
      <c r="F5" s="4">
        <v>33992</v>
      </c>
    </row>
    <row r="6" spans="1:6" x14ac:dyDescent="0.4">
      <c r="A6" t="s">
        <v>73</v>
      </c>
      <c r="B6">
        <v>21.24</v>
      </c>
      <c r="C6">
        <v>21.43</v>
      </c>
      <c r="D6">
        <v>21.23</v>
      </c>
      <c r="E6">
        <v>21.27</v>
      </c>
      <c r="F6" s="4">
        <v>39660</v>
      </c>
    </row>
    <row r="7" spans="1:6" x14ac:dyDescent="0.4">
      <c r="A7" t="s">
        <v>72</v>
      </c>
      <c r="B7">
        <v>21.39</v>
      </c>
      <c r="C7">
        <v>21.47</v>
      </c>
      <c r="D7">
        <v>21.22</v>
      </c>
      <c r="E7">
        <v>21.25</v>
      </c>
      <c r="F7" s="4">
        <v>30273</v>
      </c>
    </row>
    <row r="8" spans="1:6" x14ac:dyDescent="0.4">
      <c r="A8" t="s">
        <v>71</v>
      </c>
      <c r="B8">
        <v>21.2</v>
      </c>
      <c r="C8">
        <v>21.2</v>
      </c>
      <c r="D8">
        <v>21.07</v>
      </c>
      <c r="E8">
        <v>21.1</v>
      </c>
      <c r="F8" s="4">
        <v>37748</v>
      </c>
    </row>
    <row r="9" spans="1:6" x14ac:dyDescent="0.4">
      <c r="A9" t="s">
        <v>70</v>
      </c>
      <c r="B9">
        <v>21.17</v>
      </c>
      <c r="C9">
        <v>21.24</v>
      </c>
      <c r="D9">
        <v>21.1</v>
      </c>
      <c r="E9">
        <v>21.21</v>
      </c>
      <c r="F9" s="4">
        <v>26981</v>
      </c>
    </row>
    <row r="10" spans="1:6" x14ac:dyDescent="0.4">
      <c r="A10" t="s">
        <v>69</v>
      </c>
      <c r="B10">
        <v>21.18</v>
      </c>
      <c r="C10">
        <v>21.24</v>
      </c>
      <c r="D10">
        <v>21.08</v>
      </c>
      <c r="E10">
        <v>21.19</v>
      </c>
      <c r="F10" s="4">
        <v>29360</v>
      </c>
    </row>
    <row r="11" spans="1:6" x14ac:dyDescent="0.4">
      <c r="A11" t="s">
        <v>68</v>
      </c>
      <c r="B11">
        <v>21.29</v>
      </c>
      <c r="C11">
        <v>21.34</v>
      </c>
      <c r="D11">
        <v>21.17</v>
      </c>
      <c r="E11">
        <v>21.19</v>
      </c>
      <c r="F11" s="4">
        <v>40171</v>
      </c>
    </row>
    <row r="12" spans="1:6" x14ac:dyDescent="0.4">
      <c r="A12" t="s">
        <v>67</v>
      </c>
      <c r="B12">
        <v>21.1</v>
      </c>
      <c r="C12">
        <v>21.13</v>
      </c>
      <c r="D12">
        <v>21</v>
      </c>
      <c r="E12">
        <v>21.07</v>
      </c>
      <c r="F12" s="4">
        <v>58267</v>
      </c>
    </row>
    <row r="13" spans="1:6" x14ac:dyDescent="0.4">
      <c r="A13" t="s">
        <v>66</v>
      </c>
      <c r="B13">
        <v>21.04</v>
      </c>
      <c r="C13">
        <v>21.04</v>
      </c>
      <c r="D13">
        <v>20.85</v>
      </c>
      <c r="E13">
        <v>20.85</v>
      </c>
      <c r="F13" s="4">
        <v>82577</v>
      </c>
    </row>
    <row r="14" spans="1:6" x14ac:dyDescent="0.4">
      <c r="A14" t="s">
        <v>65</v>
      </c>
      <c r="B14">
        <v>20.82</v>
      </c>
      <c r="C14">
        <v>20.92</v>
      </c>
      <c r="D14">
        <v>20.75</v>
      </c>
      <c r="E14">
        <v>20.83</v>
      </c>
      <c r="F14" s="4">
        <v>49599</v>
      </c>
    </row>
    <row r="15" spans="1:6" x14ac:dyDescent="0.4">
      <c r="A15" t="s">
        <v>64</v>
      </c>
      <c r="B15">
        <v>21.01</v>
      </c>
      <c r="C15">
        <v>21.26</v>
      </c>
      <c r="D15">
        <v>20.92</v>
      </c>
      <c r="E15">
        <v>21.26</v>
      </c>
      <c r="F15" s="4">
        <v>51782</v>
      </c>
    </row>
    <row r="16" spans="1:6" x14ac:dyDescent="0.4">
      <c r="A16" t="s">
        <v>63</v>
      </c>
      <c r="B16">
        <v>21.45</v>
      </c>
      <c r="C16">
        <v>21.68</v>
      </c>
      <c r="D16">
        <v>21.45</v>
      </c>
      <c r="E16">
        <v>21.64</v>
      </c>
      <c r="F16" s="4">
        <v>71778</v>
      </c>
    </row>
    <row r="17" spans="1:6" x14ac:dyDescent="0.4">
      <c r="A17" t="s">
        <v>62</v>
      </c>
      <c r="B17">
        <v>21.68</v>
      </c>
      <c r="C17">
        <v>21.71</v>
      </c>
      <c r="D17">
        <v>21.54</v>
      </c>
      <c r="E17">
        <v>21.63</v>
      </c>
      <c r="F17" s="4">
        <v>40109</v>
      </c>
    </row>
    <row r="18" spans="1:6" x14ac:dyDescent="0.4">
      <c r="A18" t="s">
        <v>61</v>
      </c>
      <c r="B18">
        <v>21.64</v>
      </c>
      <c r="C18">
        <v>21.71</v>
      </c>
      <c r="D18">
        <v>21.62</v>
      </c>
      <c r="E18">
        <v>21.64</v>
      </c>
      <c r="F18" s="4">
        <v>32095</v>
      </c>
    </row>
    <row r="19" spans="1:6" x14ac:dyDescent="0.4">
      <c r="A19" t="s">
        <v>60</v>
      </c>
      <c r="B19">
        <v>21.7</v>
      </c>
      <c r="C19">
        <v>21.78</v>
      </c>
      <c r="D19">
        <v>21.63</v>
      </c>
      <c r="E19">
        <v>21.69</v>
      </c>
      <c r="F19" s="4">
        <v>43323</v>
      </c>
    </row>
    <row r="20" spans="1:6" x14ac:dyDescent="0.4">
      <c r="A20" t="s">
        <v>59</v>
      </c>
      <c r="B20">
        <v>21.63</v>
      </c>
      <c r="C20">
        <v>21.64</v>
      </c>
      <c r="D20">
        <v>21.49</v>
      </c>
      <c r="E20">
        <v>21.52</v>
      </c>
      <c r="F20" s="4">
        <v>51292</v>
      </c>
    </row>
    <row r="21" spans="1:6" x14ac:dyDescent="0.4">
      <c r="A21" t="s">
        <v>58</v>
      </c>
      <c r="B21">
        <v>21.52</v>
      </c>
      <c r="C21">
        <v>21.7</v>
      </c>
      <c r="D21">
        <v>21.49</v>
      </c>
      <c r="E21">
        <v>21.67</v>
      </c>
      <c r="F21" s="4">
        <v>35435</v>
      </c>
    </row>
    <row r="22" spans="1:6" x14ac:dyDescent="0.4">
      <c r="A22" t="s">
        <v>57</v>
      </c>
      <c r="B22">
        <v>21.71</v>
      </c>
      <c r="C22">
        <v>21.76</v>
      </c>
      <c r="D22">
        <v>21.66</v>
      </c>
      <c r="E22">
        <v>21.7</v>
      </c>
      <c r="F22" s="4">
        <v>35180</v>
      </c>
    </row>
    <row r="23" spans="1:6" x14ac:dyDescent="0.4">
      <c r="A23" t="s">
        <v>56</v>
      </c>
      <c r="B23">
        <v>21.66</v>
      </c>
      <c r="C23">
        <v>21.66</v>
      </c>
      <c r="D23">
        <v>21.55</v>
      </c>
      <c r="E23">
        <v>21.63</v>
      </c>
      <c r="F23" s="4">
        <v>31063</v>
      </c>
    </row>
    <row r="24" spans="1:6" x14ac:dyDescent="0.4">
      <c r="A24" t="s">
        <v>55</v>
      </c>
      <c r="B24">
        <v>21.67</v>
      </c>
      <c r="C24">
        <v>21.72</v>
      </c>
      <c r="D24">
        <v>21.61</v>
      </c>
      <c r="E24">
        <v>21.71</v>
      </c>
      <c r="F24" s="4">
        <v>60130</v>
      </c>
    </row>
    <row r="25" spans="1:6" x14ac:dyDescent="0.4">
      <c r="A25" t="s">
        <v>54</v>
      </c>
      <c r="B25">
        <v>21.74</v>
      </c>
      <c r="C25">
        <v>21.86</v>
      </c>
      <c r="D25">
        <v>21.74</v>
      </c>
      <c r="E25">
        <v>21.85</v>
      </c>
      <c r="F25" s="4">
        <v>56473</v>
      </c>
    </row>
    <row r="26" spans="1:6" x14ac:dyDescent="0.4">
      <c r="A26" t="s">
        <v>53</v>
      </c>
      <c r="B26">
        <v>21.8</v>
      </c>
      <c r="C26">
        <v>21.91</v>
      </c>
      <c r="D26">
        <v>21.7</v>
      </c>
      <c r="E26">
        <v>21.89</v>
      </c>
      <c r="F26" s="4">
        <v>68591</v>
      </c>
    </row>
    <row r="27" spans="1:6" x14ac:dyDescent="0.4">
      <c r="A27" t="s">
        <v>52</v>
      </c>
      <c r="B27">
        <v>22.11</v>
      </c>
      <c r="C27">
        <v>22.24</v>
      </c>
      <c r="D27">
        <v>22.05</v>
      </c>
      <c r="E27">
        <v>22.2</v>
      </c>
      <c r="F27" s="4">
        <v>107943</v>
      </c>
    </row>
    <row r="28" spans="1:6" x14ac:dyDescent="0.4">
      <c r="A28" t="s">
        <v>51</v>
      </c>
      <c r="B28">
        <v>22.2</v>
      </c>
      <c r="C28">
        <v>22.38</v>
      </c>
      <c r="D28">
        <v>22.2</v>
      </c>
      <c r="E28">
        <v>22.31</v>
      </c>
      <c r="F28" s="4">
        <v>87132</v>
      </c>
    </row>
    <row r="29" spans="1:6" x14ac:dyDescent="0.4">
      <c r="A29" t="s">
        <v>50</v>
      </c>
      <c r="B29">
        <v>22.34</v>
      </c>
      <c r="C29">
        <v>22.35</v>
      </c>
      <c r="D29">
        <v>22.22</v>
      </c>
      <c r="E29">
        <v>22.3</v>
      </c>
      <c r="F29" s="4">
        <v>106534</v>
      </c>
    </row>
    <row r="30" spans="1:6" x14ac:dyDescent="0.4">
      <c r="A30" t="s">
        <v>49</v>
      </c>
      <c r="B30">
        <v>22.29</v>
      </c>
      <c r="C30">
        <v>22.41</v>
      </c>
      <c r="D30">
        <v>22.26</v>
      </c>
      <c r="E30">
        <v>22.4</v>
      </c>
      <c r="F30" s="4">
        <v>69225</v>
      </c>
    </row>
    <row r="31" spans="1:6" x14ac:dyDescent="0.4">
      <c r="A31" t="s">
        <v>48</v>
      </c>
      <c r="B31">
        <v>22.4</v>
      </c>
      <c r="C31">
        <v>22.4</v>
      </c>
      <c r="D31">
        <v>22.28</v>
      </c>
      <c r="E31">
        <v>22.29</v>
      </c>
      <c r="F31" s="4">
        <v>111362</v>
      </c>
    </row>
    <row r="32" spans="1:6" x14ac:dyDescent="0.4">
      <c r="A32" t="s">
        <v>47</v>
      </c>
      <c r="B32">
        <v>22.4</v>
      </c>
      <c r="C32">
        <v>22.5</v>
      </c>
      <c r="D32">
        <v>22.35</v>
      </c>
      <c r="E32">
        <v>22.41</v>
      </c>
      <c r="F32" s="4">
        <v>69859</v>
      </c>
    </row>
    <row r="33" spans="1:6" x14ac:dyDescent="0.4">
      <c r="A33" t="s">
        <v>46</v>
      </c>
      <c r="B33">
        <v>22.5</v>
      </c>
      <c r="C33">
        <v>22.6</v>
      </c>
      <c r="D33">
        <v>22.46</v>
      </c>
      <c r="E33">
        <v>22.46</v>
      </c>
      <c r="F33" s="4">
        <v>111025</v>
      </c>
    </row>
    <row r="34" spans="1:6" x14ac:dyDescent="0.4">
      <c r="A34" t="s">
        <v>45</v>
      </c>
      <c r="B34">
        <v>22.47</v>
      </c>
      <c r="C34">
        <v>22.47</v>
      </c>
      <c r="D34">
        <v>22.36</v>
      </c>
      <c r="E34">
        <v>22.41</v>
      </c>
      <c r="F34" s="4">
        <v>197724</v>
      </c>
    </row>
    <row r="35" spans="1:6" x14ac:dyDescent="0.4">
      <c r="A35" t="s">
        <v>44</v>
      </c>
      <c r="B35">
        <v>22.13</v>
      </c>
      <c r="C35">
        <v>22.14</v>
      </c>
      <c r="D35">
        <v>21.81</v>
      </c>
      <c r="E35">
        <v>21.85</v>
      </c>
      <c r="F35" s="4">
        <v>229991</v>
      </c>
    </row>
    <row r="36" spans="1:6" x14ac:dyDescent="0.4">
      <c r="A36" t="s">
        <v>43</v>
      </c>
      <c r="B36">
        <v>21.84</v>
      </c>
      <c r="C36">
        <v>22.03</v>
      </c>
      <c r="D36">
        <v>21.8</v>
      </c>
      <c r="E36">
        <v>21.99</v>
      </c>
      <c r="F36" s="4">
        <v>73325</v>
      </c>
    </row>
    <row r="37" spans="1:6" x14ac:dyDescent="0.4">
      <c r="A37" t="s">
        <v>42</v>
      </c>
      <c r="B37">
        <v>22</v>
      </c>
      <c r="C37">
        <v>22.1</v>
      </c>
      <c r="D37">
        <v>22</v>
      </c>
      <c r="E37">
        <v>22.03</v>
      </c>
      <c r="F37" s="4">
        <v>53149</v>
      </c>
    </row>
    <row r="38" spans="1:6" x14ac:dyDescent="0.4">
      <c r="A38" t="s">
        <v>41</v>
      </c>
      <c r="B38">
        <v>22.12</v>
      </c>
      <c r="C38">
        <v>22.24</v>
      </c>
      <c r="D38">
        <v>22.07</v>
      </c>
      <c r="E38">
        <v>22.07</v>
      </c>
      <c r="F38" s="4">
        <v>82561</v>
      </c>
    </row>
    <row r="39" spans="1:6" x14ac:dyDescent="0.4">
      <c r="A39" t="s">
        <v>40</v>
      </c>
      <c r="B39">
        <v>22.1</v>
      </c>
      <c r="C39">
        <v>22.19</v>
      </c>
      <c r="D39">
        <v>22</v>
      </c>
      <c r="E39">
        <v>22.17</v>
      </c>
      <c r="F39" s="4">
        <v>69725</v>
      </c>
    </row>
    <row r="40" spans="1:6" x14ac:dyDescent="0.4">
      <c r="A40" t="s">
        <v>39</v>
      </c>
      <c r="B40">
        <v>22.13</v>
      </c>
      <c r="C40">
        <v>22.35</v>
      </c>
      <c r="D40">
        <v>22.1</v>
      </c>
      <c r="E40">
        <v>22.29</v>
      </c>
      <c r="F40" s="4">
        <v>84000</v>
      </c>
    </row>
    <row r="41" spans="1:6" x14ac:dyDescent="0.4">
      <c r="A41" t="s">
        <v>38</v>
      </c>
      <c r="B41">
        <v>22.34</v>
      </c>
      <c r="C41">
        <v>22.38</v>
      </c>
      <c r="D41">
        <v>22.21</v>
      </c>
      <c r="E41">
        <v>22.33</v>
      </c>
      <c r="F41" s="4">
        <v>109313</v>
      </c>
    </row>
    <row r="42" spans="1:6" x14ac:dyDescent="0.4">
      <c r="A42" t="s">
        <v>37</v>
      </c>
      <c r="B42">
        <v>22.37</v>
      </c>
      <c r="C42">
        <v>22.54</v>
      </c>
      <c r="D42">
        <v>22.22</v>
      </c>
      <c r="E42">
        <v>22.31</v>
      </c>
      <c r="F42" s="4">
        <v>165990</v>
      </c>
    </row>
    <row r="43" spans="1:6" x14ac:dyDescent="0.4">
      <c r="A43" t="s">
        <v>36</v>
      </c>
      <c r="B43">
        <v>22.33</v>
      </c>
      <c r="C43">
        <v>22.52</v>
      </c>
      <c r="D43">
        <v>22.3</v>
      </c>
      <c r="E43">
        <v>22.34</v>
      </c>
      <c r="F43" s="4">
        <v>88842</v>
      </c>
    </row>
    <row r="44" spans="1:6" x14ac:dyDescent="0.4">
      <c r="A44" t="s">
        <v>35</v>
      </c>
      <c r="B44">
        <v>22.34</v>
      </c>
      <c r="C44">
        <v>22.57</v>
      </c>
      <c r="D44">
        <v>22.33</v>
      </c>
      <c r="E44">
        <v>22.55</v>
      </c>
      <c r="F44" s="4">
        <v>76073</v>
      </c>
    </row>
    <row r="45" spans="1:6" x14ac:dyDescent="0.4">
      <c r="A45" t="s">
        <v>34</v>
      </c>
      <c r="B45">
        <v>22.59</v>
      </c>
      <c r="C45">
        <v>22.72</v>
      </c>
      <c r="D45">
        <v>22.48</v>
      </c>
      <c r="E45">
        <v>22.52</v>
      </c>
      <c r="F45" s="4">
        <v>77115</v>
      </c>
    </row>
    <row r="46" spans="1:6" x14ac:dyDescent="0.4">
      <c r="A46" t="s">
        <v>33</v>
      </c>
      <c r="B46">
        <v>22.52</v>
      </c>
      <c r="C46">
        <v>22.58</v>
      </c>
      <c r="D46">
        <v>22.25</v>
      </c>
      <c r="E46">
        <v>22.3</v>
      </c>
      <c r="F46" s="4">
        <v>63847</v>
      </c>
    </row>
    <row r="47" spans="1:6" x14ac:dyDescent="0.4">
      <c r="A47" t="s">
        <v>32</v>
      </c>
      <c r="B47">
        <v>22.2</v>
      </c>
      <c r="C47">
        <v>22.43</v>
      </c>
      <c r="D47">
        <v>22.1</v>
      </c>
      <c r="E47">
        <v>22.38</v>
      </c>
      <c r="F47" s="4">
        <v>56933</v>
      </c>
    </row>
    <row r="48" spans="1:6" x14ac:dyDescent="0.4">
      <c r="A48" t="s">
        <v>31</v>
      </c>
      <c r="B48">
        <v>22.38</v>
      </c>
      <c r="C48">
        <v>22.44</v>
      </c>
      <c r="D48">
        <v>22.27</v>
      </c>
      <c r="E48">
        <v>22.37</v>
      </c>
      <c r="F48" s="4">
        <v>48788</v>
      </c>
    </row>
    <row r="49" spans="1:6" x14ac:dyDescent="0.4">
      <c r="A49" t="s">
        <v>30</v>
      </c>
      <c r="B49">
        <v>22.35</v>
      </c>
      <c r="C49">
        <v>22.47</v>
      </c>
      <c r="D49">
        <v>22.3</v>
      </c>
      <c r="E49">
        <v>22.39</v>
      </c>
      <c r="F49" s="4">
        <v>48492</v>
      </c>
    </row>
    <row r="50" spans="1:6" x14ac:dyDescent="0.4">
      <c r="A50" t="s">
        <v>29</v>
      </c>
      <c r="B50">
        <v>22.39</v>
      </c>
      <c r="C50">
        <v>22.55</v>
      </c>
      <c r="D50">
        <v>22.29</v>
      </c>
      <c r="E50">
        <v>22.29</v>
      </c>
      <c r="F50" s="4">
        <v>53015</v>
      </c>
    </row>
    <row r="51" spans="1:6" x14ac:dyDescent="0.4">
      <c r="A51" t="s">
        <v>28</v>
      </c>
      <c r="B51">
        <v>22.4</v>
      </c>
      <c r="C51">
        <v>22.55</v>
      </c>
      <c r="D51">
        <v>22.38</v>
      </c>
      <c r="E51">
        <v>22.52</v>
      </c>
      <c r="F51" s="4">
        <v>62691</v>
      </c>
    </row>
    <row r="52" spans="1:6" x14ac:dyDescent="0.4">
      <c r="A52" t="s">
        <v>27</v>
      </c>
      <c r="B52">
        <v>22.52</v>
      </c>
      <c r="C52">
        <v>22.67</v>
      </c>
      <c r="D52">
        <v>22.47</v>
      </c>
      <c r="E52">
        <v>22.54</v>
      </c>
      <c r="F52" s="4">
        <v>63296</v>
      </c>
    </row>
    <row r="53" spans="1:6" x14ac:dyDescent="0.4">
      <c r="A53" t="s">
        <v>26</v>
      </c>
      <c r="B53">
        <v>22.55</v>
      </c>
      <c r="C53">
        <v>22.56</v>
      </c>
      <c r="D53">
        <v>22.46</v>
      </c>
      <c r="E53">
        <v>22.48</v>
      </c>
      <c r="F53" s="4">
        <v>34485</v>
      </c>
    </row>
    <row r="54" spans="1:6" x14ac:dyDescent="0.4">
      <c r="A54" t="s">
        <v>25</v>
      </c>
      <c r="B54">
        <v>22.48</v>
      </c>
      <c r="C54">
        <v>22.65</v>
      </c>
      <c r="D54">
        <v>22.22</v>
      </c>
      <c r="E54">
        <v>22.41</v>
      </c>
      <c r="F54" s="4">
        <v>54404</v>
      </c>
    </row>
    <row r="55" spans="1:6" x14ac:dyDescent="0.4">
      <c r="A55" t="s">
        <v>24</v>
      </c>
      <c r="B55">
        <v>22.41</v>
      </c>
      <c r="C55">
        <v>22.55</v>
      </c>
      <c r="D55">
        <v>22.34</v>
      </c>
      <c r="E55">
        <v>22.55</v>
      </c>
      <c r="F55" s="4">
        <v>30429</v>
      </c>
    </row>
    <row r="56" spans="1:6" x14ac:dyDescent="0.4">
      <c r="A56" t="s">
        <v>23</v>
      </c>
      <c r="B56">
        <v>22.55</v>
      </c>
      <c r="C56">
        <v>22.6</v>
      </c>
      <c r="D56">
        <v>22.43</v>
      </c>
      <c r="E56">
        <v>22.57</v>
      </c>
      <c r="F56" s="4">
        <v>35789</v>
      </c>
    </row>
    <row r="57" spans="1:6" x14ac:dyDescent="0.4">
      <c r="A57" t="s">
        <v>22</v>
      </c>
      <c r="B57">
        <v>22.58</v>
      </c>
      <c r="C57">
        <v>22.75</v>
      </c>
      <c r="D57">
        <v>22.54</v>
      </c>
      <c r="E57">
        <v>22.7</v>
      </c>
      <c r="F57" s="4">
        <v>68487</v>
      </c>
    </row>
  </sheetData>
  <sortState xmlns:xlrd2="http://schemas.microsoft.com/office/spreadsheetml/2017/richdata2" ref="A2:F65">
    <sortCondition ref="A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8F955-54DC-4DAD-A483-EF1400F9EB26}">
  <sheetPr codeName="工作表20"/>
  <dimension ref="A1:F57"/>
  <sheetViews>
    <sheetView workbookViewId="0"/>
  </sheetViews>
  <sheetFormatPr defaultRowHeight="17" x14ac:dyDescent="0.4"/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4">
      <c r="A2" t="s">
        <v>77</v>
      </c>
      <c r="B2">
        <v>37.450000000000003</v>
      </c>
      <c r="C2">
        <v>37.5</v>
      </c>
      <c r="D2">
        <v>37</v>
      </c>
      <c r="E2">
        <v>37.17</v>
      </c>
      <c r="F2" s="4">
        <v>35537</v>
      </c>
    </row>
    <row r="3" spans="1:6" x14ac:dyDescent="0.4">
      <c r="A3" t="s">
        <v>76</v>
      </c>
      <c r="B3">
        <v>37</v>
      </c>
      <c r="C3">
        <v>37</v>
      </c>
      <c r="D3">
        <v>36.590000000000003</v>
      </c>
      <c r="E3">
        <v>36.68</v>
      </c>
      <c r="F3" s="4">
        <v>87773</v>
      </c>
    </row>
    <row r="4" spans="1:6" x14ac:dyDescent="0.4">
      <c r="A4" t="s">
        <v>75</v>
      </c>
      <c r="B4">
        <v>36.65</v>
      </c>
      <c r="C4">
        <v>36.75</v>
      </c>
      <c r="D4">
        <v>36.549999999999997</v>
      </c>
      <c r="E4">
        <v>36.590000000000003</v>
      </c>
      <c r="F4" s="4">
        <v>35761</v>
      </c>
    </row>
    <row r="5" spans="1:6" x14ac:dyDescent="0.4">
      <c r="A5" t="s">
        <v>74</v>
      </c>
      <c r="B5">
        <v>36.6</v>
      </c>
      <c r="C5">
        <v>36.770000000000003</v>
      </c>
      <c r="D5">
        <v>36.51</v>
      </c>
      <c r="E5">
        <v>36.549999999999997</v>
      </c>
      <c r="F5" s="4">
        <v>30342</v>
      </c>
    </row>
    <row r="6" spans="1:6" x14ac:dyDescent="0.4">
      <c r="A6" t="s">
        <v>73</v>
      </c>
      <c r="B6">
        <v>36.67</v>
      </c>
      <c r="C6">
        <v>36.86</v>
      </c>
      <c r="D6">
        <v>36.53</v>
      </c>
      <c r="E6">
        <v>36.57</v>
      </c>
      <c r="F6" s="4">
        <v>38195</v>
      </c>
    </row>
    <row r="7" spans="1:6" x14ac:dyDescent="0.4">
      <c r="A7" t="s">
        <v>72</v>
      </c>
      <c r="B7">
        <v>36.78</v>
      </c>
      <c r="C7">
        <v>36.85</v>
      </c>
      <c r="D7">
        <v>36.450000000000003</v>
      </c>
      <c r="E7">
        <v>36.49</v>
      </c>
      <c r="F7" s="4">
        <v>31438</v>
      </c>
    </row>
    <row r="8" spans="1:6" x14ac:dyDescent="0.4">
      <c r="A8" t="s">
        <v>71</v>
      </c>
      <c r="B8">
        <v>36.4</v>
      </c>
      <c r="C8">
        <v>36.4</v>
      </c>
      <c r="D8">
        <v>36.18</v>
      </c>
      <c r="E8">
        <v>36.24</v>
      </c>
      <c r="F8" s="4">
        <v>39924</v>
      </c>
    </row>
    <row r="9" spans="1:6" x14ac:dyDescent="0.4">
      <c r="A9" t="s">
        <v>70</v>
      </c>
      <c r="B9">
        <v>36.25</v>
      </c>
      <c r="C9">
        <v>36.409999999999997</v>
      </c>
      <c r="D9">
        <v>36.24</v>
      </c>
      <c r="E9">
        <v>36.39</v>
      </c>
      <c r="F9" s="4">
        <v>27001</v>
      </c>
    </row>
    <row r="10" spans="1:6" x14ac:dyDescent="0.4">
      <c r="A10" t="s">
        <v>69</v>
      </c>
      <c r="B10">
        <v>36.33</v>
      </c>
      <c r="C10">
        <v>36.4</v>
      </c>
      <c r="D10">
        <v>36.19</v>
      </c>
      <c r="E10">
        <v>36.33</v>
      </c>
      <c r="F10" s="4">
        <v>35529</v>
      </c>
    </row>
    <row r="11" spans="1:6" x14ac:dyDescent="0.4">
      <c r="A11" t="s">
        <v>68</v>
      </c>
      <c r="B11">
        <v>36.42</v>
      </c>
      <c r="C11">
        <v>36.619999999999997</v>
      </c>
      <c r="D11">
        <v>36.36</v>
      </c>
      <c r="E11">
        <v>36.42</v>
      </c>
      <c r="F11" s="4">
        <v>59273</v>
      </c>
    </row>
    <row r="12" spans="1:6" x14ac:dyDescent="0.4">
      <c r="A12" t="s">
        <v>67</v>
      </c>
      <c r="B12">
        <v>36.450000000000003</v>
      </c>
      <c r="C12">
        <v>36.46</v>
      </c>
      <c r="D12">
        <v>36.090000000000003</v>
      </c>
      <c r="E12">
        <v>36.369999999999997</v>
      </c>
      <c r="F12" s="4">
        <v>129123</v>
      </c>
    </row>
    <row r="13" spans="1:6" x14ac:dyDescent="0.4">
      <c r="A13" t="s">
        <v>66</v>
      </c>
      <c r="B13">
        <v>35.630000000000003</v>
      </c>
      <c r="C13">
        <v>35.630000000000003</v>
      </c>
      <c r="D13">
        <v>35.17</v>
      </c>
      <c r="E13">
        <v>35.19</v>
      </c>
      <c r="F13" s="4">
        <v>130063</v>
      </c>
    </row>
    <row r="14" spans="1:6" x14ac:dyDescent="0.4">
      <c r="A14" t="s">
        <v>65</v>
      </c>
      <c r="B14">
        <v>35.19</v>
      </c>
      <c r="C14">
        <v>35.32</v>
      </c>
      <c r="D14">
        <v>34.950000000000003</v>
      </c>
      <c r="E14">
        <v>35.119999999999997</v>
      </c>
      <c r="F14" s="4">
        <v>40574</v>
      </c>
    </row>
    <row r="15" spans="1:6" x14ac:dyDescent="0.4">
      <c r="A15" t="s">
        <v>64</v>
      </c>
      <c r="B15">
        <v>35.409999999999997</v>
      </c>
      <c r="C15">
        <v>35.65</v>
      </c>
      <c r="D15">
        <v>35.229999999999997</v>
      </c>
      <c r="E15">
        <v>35.65</v>
      </c>
      <c r="F15" s="4">
        <v>24163</v>
      </c>
    </row>
    <row r="16" spans="1:6" x14ac:dyDescent="0.4">
      <c r="A16" t="s">
        <v>63</v>
      </c>
      <c r="B16">
        <v>35.78</v>
      </c>
      <c r="C16">
        <v>36.14</v>
      </c>
      <c r="D16">
        <v>35.78</v>
      </c>
      <c r="E16">
        <v>36.14</v>
      </c>
      <c r="F16" s="4">
        <v>30891</v>
      </c>
    </row>
    <row r="17" spans="1:6" x14ac:dyDescent="0.4">
      <c r="A17" t="s">
        <v>62</v>
      </c>
      <c r="B17">
        <v>36.15</v>
      </c>
      <c r="C17">
        <v>36.28</v>
      </c>
      <c r="D17">
        <v>36.090000000000003</v>
      </c>
      <c r="E17">
        <v>36.200000000000003</v>
      </c>
      <c r="F17" s="4">
        <v>21334</v>
      </c>
    </row>
    <row r="18" spans="1:6" x14ac:dyDescent="0.4">
      <c r="A18" t="s">
        <v>61</v>
      </c>
      <c r="B18">
        <v>36.270000000000003</v>
      </c>
      <c r="C18">
        <v>36.340000000000003</v>
      </c>
      <c r="D18">
        <v>36.22</v>
      </c>
      <c r="E18">
        <v>36.229999999999997</v>
      </c>
      <c r="F18" s="4">
        <v>19364</v>
      </c>
    </row>
    <row r="19" spans="1:6" x14ac:dyDescent="0.4">
      <c r="A19" t="s">
        <v>60</v>
      </c>
      <c r="B19">
        <v>36.33</v>
      </c>
      <c r="C19">
        <v>36.39</v>
      </c>
      <c r="D19">
        <v>36.24</v>
      </c>
      <c r="E19">
        <v>36.29</v>
      </c>
      <c r="F19" s="4">
        <v>24252</v>
      </c>
    </row>
    <row r="20" spans="1:6" x14ac:dyDescent="0.4">
      <c r="A20" t="s">
        <v>59</v>
      </c>
      <c r="B20">
        <v>36.29</v>
      </c>
      <c r="C20">
        <v>36.29</v>
      </c>
      <c r="D20">
        <v>36.01</v>
      </c>
      <c r="E20">
        <v>36.07</v>
      </c>
      <c r="F20" s="4">
        <v>20740</v>
      </c>
    </row>
    <row r="21" spans="1:6" x14ac:dyDescent="0.4">
      <c r="A21" t="s">
        <v>58</v>
      </c>
      <c r="B21">
        <v>36.07</v>
      </c>
      <c r="C21">
        <v>36.31</v>
      </c>
      <c r="D21">
        <v>36.020000000000003</v>
      </c>
      <c r="E21">
        <v>36.28</v>
      </c>
      <c r="F21" s="4">
        <v>22427</v>
      </c>
    </row>
    <row r="22" spans="1:6" x14ac:dyDescent="0.4">
      <c r="A22" t="s">
        <v>57</v>
      </c>
      <c r="B22">
        <v>36.32</v>
      </c>
      <c r="C22">
        <v>36.409999999999997</v>
      </c>
      <c r="D22">
        <v>36.25</v>
      </c>
      <c r="E22">
        <v>36.36</v>
      </c>
      <c r="F22" s="4">
        <v>24343</v>
      </c>
    </row>
    <row r="23" spans="1:6" x14ac:dyDescent="0.4">
      <c r="A23" t="s">
        <v>56</v>
      </c>
      <c r="B23">
        <v>36.33</v>
      </c>
      <c r="C23">
        <v>36.33</v>
      </c>
      <c r="D23">
        <v>36.15</v>
      </c>
      <c r="E23">
        <v>36.200000000000003</v>
      </c>
      <c r="F23" s="4">
        <v>15693</v>
      </c>
    </row>
    <row r="24" spans="1:6" x14ac:dyDescent="0.4">
      <c r="A24" t="s">
        <v>55</v>
      </c>
      <c r="B24">
        <v>36.200000000000003</v>
      </c>
      <c r="C24">
        <v>36.31</v>
      </c>
      <c r="D24">
        <v>36.200000000000003</v>
      </c>
      <c r="E24">
        <v>36.299999999999997</v>
      </c>
      <c r="F24" s="4">
        <v>12024</v>
      </c>
    </row>
    <row r="25" spans="1:6" x14ac:dyDescent="0.4">
      <c r="A25" t="s">
        <v>54</v>
      </c>
      <c r="B25">
        <v>36.479999999999997</v>
      </c>
      <c r="C25">
        <v>36.54</v>
      </c>
      <c r="D25">
        <v>36.409999999999997</v>
      </c>
      <c r="E25">
        <v>36.450000000000003</v>
      </c>
      <c r="F25" s="4">
        <v>28249</v>
      </c>
    </row>
    <row r="26" spans="1:6" x14ac:dyDescent="0.4">
      <c r="A26" t="s">
        <v>53</v>
      </c>
      <c r="B26">
        <v>36.409999999999997</v>
      </c>
      <c r="C26">
        <v>36.46</v>
      </c>
      <c r="D26">
        <v>36.229999999999997</v>
      </c>
      <c r="E26">
        <v>36.450000000000003</v>
      </c>
      <c r="F26" s="4">
        <v>20356</v>
      </c>
    </row>
    <row r="27" spans="1:6" x14ac:dyDescent="0.4">
      <c r="A27" t="s">
        <v>52</v>
      </c>
      <c r="B27">
        <v>36.72</v>
      </c>
      <c r="C27">
        <v>36.99</v>
      </c>
      <c r="D27">
        <v>36.700000000000003</v>
      </c>
      <c r="E27">
        <v>36.86</v>
      </c>
      <c r="F27" s="4">
        <v>60823</v>
      </c>
    </row>
    <row r="28" spans="1:6" x14ac:dyDescent="0.4">
      <c r="A28" t="s">
        <v>51</v>
      </c>
      <c r="B28">
        <v>36.94</v>
      </c>
      <c r="C28">
        <v>37.21</v>
      </c>
      <c r="D28">
        <v>36.94</v>
      </c>
      <c r="E28">
        <v>37.07</v>
      </c>
      <c r="F28" s="4">
        <v>42509</v>
      </c>
    </row>
    <row r="29" spans="1:6" x14ac:dyDescent="0.4">
      <c r="A29" t="s">
        <v>50</v>
      </c>
      <c r="B29">
        <v>37.119999999999997</v>
      </c>
      <c r="C29">
        <v>37.15</v>
      </c>
      <c r="D29">
        <v>37.03</v>
      </c>
      <c r="E29">
        <v>37.14</v>
      </c>
      <c r="F29" s="4">
        <v>24001</v>
      </c>
    </row>
    <row r="30" spans="1:6" x14ac:dyDescent="0.4">
      <c r="A30" t="s">
        <v>49</v>
      </c>
      <c r="B30">
        <v>37.25</v>
      </c>
      <c r="C30">
        <v>37.46</v>
      </c>
      <c r="D30">
        <v>37.17</v>
      </c>
      <c r="E30">
        <v>37.39</v>
      </c>
      <c r="F30" s="4">
        <v>38447</v>
      </c>
    </row>
    <row r="31" spans="1:6" x14ac:dyDescent="0.4">
      <c r="A31" t="s">
        <v>48</v>
      </c>
      <c r="B31">
        <v>37.39</v>
      </c>
      <c r="C31">
        <v>37.4</v>
      </c>
      <c r="D31">
        <v>37.26</v>
      </c>
      <c r="E31">
        <v>37.29</v>
      </c>
      <c r="F31" s="4">
        <v>19447</v>
      </c>
    </row>
    <row r="32" spans="1:6" x14ac:dyDescent="0.4">
      <c r="A32" t="s">
        <v>47</v>
      </c>
      <c r="B32">
        <v>37.5</v>
      </c>
      <c r="C32">
        <v>37.700000000000003</v>
      </c>
      <c r="D32">
        <v>37.450000000000003</v>
      </c>
      <c r="E32">
        <v>37.65</v>
      </c>
      <c r="F32" s="4">
        <v>37518</v>
      </c>
    </row>
    <row r="33" spans="1:6" x14ac:dyDescent="0.4">
      <c r="A33" t="s">
        <v>46</v>
      </c>
      <c r="B33">
        <v>37.82</v>
      </c>
      <c r="C33">
        <v>37.979999999999997</v>
      </c>
      <c r="D33">
        <v>37.590000000000003</v>
      </c>
      <c r="E33">
        <v>37.590000000000003</v>
      </c>
      <c r="F33" s="4">
        <v>32016</v>
      </c>
    </row>
    <row r="34" spans="1:6" x14ac:dyDescent="0.4">
      <c r="A34" t="s">
        <v>45</v>
      </c>
      <c r="B34">
        <v>37.590000000000003</v>
      </c>
      <c r="C34">
        <v>37.68</v>
      </c>
      <c r="D34">
        <v>37.5</v>
      </c>
      <c r="E34">
        <v>37.68</v>
      </c>
      <c r="F34" s="4">
        <v>25614</v>
      </c>
    </row>
    <row r="35" spans="1:6" x14ac:dyDescent="0.4">
      <c r="A35" t="s">
        <v>44</v>
      </c>
      <c r="B35">
        <v>37.68</v>
      </c>
      <c r="C35">
        <v>37.83</v>
      </c>
      <c r="D35">
        <v>37.25</v>
      </c>
      <c r="E35">
        <v>37.51</v>
      </c>
      <c r="F35" s="4">
        <v>22779</v>
      </c>
    </row>
    <row r="36" spans="1:6" x14ac:dyDescent="0.4">
      <c r="A36" t="s">
        <v>43</v>
      </c>
      <c r="B36">
        <v>37.5</v>
      </c>
      <c r="C36">
        <v>37.799999999999997</v>
      </c>
      <c r="D36">
        <v>37.4</v>
      </c>
      <c r="E36">
        <v>37.700000000000003</v>
      </c>
      <c r="F36" s="4">
        <v>17928</v>
      </c>
    </row>
    <row r="37" spans="1:6" x14ac:dyDescent="0.4">
      <c r="A37" t="s">
        <v>42</v>
      </c>
      <c r="B37">
        <v>37.700000000000003</v>
      </c>
      <c r="C37">
        <v>37.82</v>
      </c>
      <c r="D37">
        <v>37.659999999999997</v>
      </c>
      <c r="E37">
        <v>37.74</v>
      </c>
      <c r="F37" s="4">
        <v>16985</v>
      </c>
    </row>
    <row r="38" spans="1:6" x14ac:dyDescent="0.4">
      <c r="A38" t="s">
        <v>41</v>
      </c>
      <c r="B38">
        <v>37.89</v>
      </c>
      <c r="C38">
        <v>38.18</v>
      </c>
      <c r="D38">
        <v>37.89</v>
      </c>
      <c r="E38">
        <v>38</v>
      </c>
      <c r="F38" s="4">
        <v>39839</v>
      </c>
    </row>
    <row r="39" spans="1:6" x14ac:dyDescent="0.4">
      <c r="A39" t="s">
        <v>40</v>
      </c>
      <c r="B39">
        <v>38.049999999999997</v>
      </c>
      <c r="C39">
        <v>38.18</v>
      </c>
      <c r="D39">
        <v>37.85</v>
      </c>
      <c r="E39">
        <v>38.159999999999997</v>
      </c>
      <c r="F39" s="4">
        <v>27963</v>
      </c>
    </row>
    <row r="40" spans="1:6" x14ac:dyDescent="0.4">
      <c r="A40" t="s">
        <v>39</v>
      </c>
      <c r="B40">
        <v>38.119999999999997</v>
      </c>
      <c r="C40">
        <v>38.61</v>
      </c>
      <c r="D40">
        <v>38.07</v>
      </c>
      <c r="E40">
        <v>38.53</v>
      </c>
      <c r="F40" s="4">
        <v>31150</v>
      </c>
    </row>
    <row r="41" spans="1:6" x14ac:dyDescent="0.4">
      <c r="A41" t="s">
        <v>38</v>
      </c>
      <c r="B41">
        <v>38.700000000000003</v>
      </c>
      <c r="C41">
        <v>38.82</v>
      </c>
      <c r="D41">
        <v>38.4</v>
      </c>
      <c r="E41">
        <v>38.68</v>
      </c>
      <c r="F41" s="4">
        <v>33014</v>
      </c>
    </row>
    <row r="42" spans="1:6" x14ac:dyDescent="0.4">
      <c r="A42" t="s">
        <v>37</v>
      </c>
      <c r="B42">
        <v>38.97</v>
      </c>
      <c r="C42">
        <v>39.15</v>
      </c>
      <c r="D42">
        <v>38.28</v>
      </c>
      <c r="E42">
        <v>38.450000000000003</v>
      </c>
      <c r="F42" s="4">
        <v>48578</v>
      </c>
    </row>
    <row r="43" spans="1:6" x14ac:dyDescent="0.4">
      <c r="A43" t="s">
        <v>36</v>
      </c>
      <c r="B43">
        <v>38.44</v>
      </c>
      <c r="C43">
        <v>38.6</v>
      </c>
      <c r="D43">
        <v>38.39</v>
      </c>
      <c r="E43">
        <v>38.43</v>
      </c>
      <c r="F43" s="4">
        <v>26629</v>
      </c>
    </row>
    <row r="44" spans="1:6" x14ac:dyDescent="0.4">
      <c r="A44" t="s">
        <v>35</v>
      </c>
      <c r="B44">
        <v>38.51</v>
      </c>
      <c r="C44">
        <v>38.99</v>
      </c>
      <c r="D44">
        <v>38.51</v>
      </c>
      <c r="E44">
        <v>38.99</v>
      </c>
      <c r="F44" s="4">
        <v>23318</v>
      </c>
    </row>
    <row r="45" spans="1:6" x14ac:dyDescent="0.4">
      <c r="A45" t="s">
        <v>34</v>
      </c>
      <c r="B45">
        <v>39.130000000000003</v>
      </c>
      <c r="C45">
        <v>39.36</v>
      </c>
      <c r="D45">
        <v>38.93</v>
      </c>
      <c r="E45">
        <v>39.08</v>
      </c>
      <c r="F45" s="4">
        <v>24276</v>
      </c>
    </row>
    <row r="46" spans="1:6" x14ac:dyDescent="0.4">
      <c r="A46" t="s">
        <v>33</v>
      </c>
      <c r="B46">
        <v>39.090000000000003</v>
      </c>
      <c r="C46">
        <v>39.17</v>
      </c>
      <c r="D46">
        <v>38.65</v>
      </c>
      <c r="E46">
        <v>38.72</v>
      </c>
      <c r="F46" s="4">
        <v>25577</v>
      </c>
    </row>
    <row r="47" spans="1:6" x14ac:dyDescent="0.4">
      <c r="A47" t="s">
        <v>32</v>
      </c>
      <c r="B47">
        <v>38.71</v>
      </c>
      <c r="C47">
        <v>39.03</v>
      </c>
      <c r="D47">
        <v>38.64</v>
      </c>
      <c r="E47">
        <v>39.020000000000003</v>
      </c>
      <c r="F47" s="4">
        <v>28781</v>
      </c>
    </row>
    <row r="48" spans="1:6" x14ac:dyDescent="0.4">
      <c r="A48" t="s">
        <v>31</v>
      </c>
      <c r="B48">
        <v>39.06</v>
      </c>
      <c r="C48">
        <v>39.36</v>
      </c>
      <c r="D48">
        <v>39.04</v>
      </c>
      <c r="E48">
        <v>39.36</v>
      </c>
      <c r="F48" s="4">
        <v>29445</v>
      </c>
    </row>
    <row r="49" spans="1:6" x14ac:dyDescent="0.4">
      <c r="A49" t="s">
        <v>30</v>
      </c>
      <c r="B49">
        <v>39.36</v>
      </c>
      <c r="C49">
        <v>39.75</v>
      </c>
      <c r="D49">
        <v>39.26</v>
      </c>
      <c r="E49">
        <v>39.700000000000003</v>
      </c>
      <c r="F49" s="4">
        <v>28091</v>
      </c>
    </row>
    <row r="50" spans="1:6" x14ac:dyDescent="0.4">
      <c r="A50" t="s">
        <v>29</v>
      </c>
      <c r="B50">
        <v>39.840000000000003</v>
      </c>
      <c r="C50">
        <v>40.15</v>
      </c>
      <c r="D50">
        <v>39.56</v>
      </c>
      <c r="E50">
        <v>39.630000000000003</v>
      </c>
      <c r="F50" s="4">
        <v>28962</v>
      </c>
    </row>
    <row r="51" spans="1:6" x14ac:dyDescent="0.4">
      <c r="A51" t="s">
        <v>28</v>
      </c>
      <c r="B51">
        <v>39.94</v>
      </c>
      <c r="C51">
        <v>39.950000000000003</v>
      </c>
      <c r="D51">
        <v>39.65</v>
      </c>
      <c r="E51">
        <v>39.93</v>
      </c>
      <c r="F51" s="4">
        <v>19003</v>
      </c>
    </row>
    <row r="52" spans="1:6" x14ac:dyDescent="0.4">
      <c r="A52" t="s">
        <v>27</v>
      </c>
      <c r="B52">
        <v>39.93</v>
      </c>
      <c r="C52">
        <v>40.08</v>
      </c>
      <c r="D52">
        <v>39.700000000000003</v>
      </c>
      <c r="E52">
        <v>39.799999999999997</v>
      </c>
      <c r="F52" s="4">
        <v>28192</v>
      </c>
    </row>
    <row r="53" spans="1:6" x14ac:dyDescent="0.4">
      <c r="A53" t="s">
        <v>26</v>
      </c>
      <c r="B53">
        <v>39.82</v>
      </c>
      <c r="C53">
        <v>39.9</v>
      </c>
      <c r="D53">
        <v>39.6</v>
      </c>
      <c r="E53">
        <v>39.619999999999997</v>
      </c>
      <c r="F53" s="4">
        <v>20922</v>
      </c>
    </row>
    <row r="54" spans="1:6" x14ac:dyDescent="0.4">
      <c r="A54" t="s">
        <v>25</v>
      </c>
      <c r="B54">
        <v>39.6</v>
      </c>
      <c r="C54">
        <v>39.840000000000003</v>
      </c>
      <c r="D54">
        <v>38.799999999999997</v>
      </c>
      <c r="E54">
        <v>39.24</v>
      </c>
      <c r="F54" s="4">
        <v>32556</v>
      </c>
    </row>
    <row r="55" spans="1:6" x14ac:dyDescent="0.4">
      <c r="A55" t="s">
        <v>24</v>
      </c>
      <c r="B55">
        <v>39.24</v>
      </c>
      <c r="C55">
        <v>39.61</v>
      </c>
      <c r="D55">
        <v>39.15</v>
      </c>
      <c r="E55">
        <v>39.549999999999997</v>
      </c>
      <c r="F55" s="4">
        <v>14207</v>
      </c>
    </row>
    <row r="56" spans="1:6" x14ac:dyDescent="0.4">
      <c r="A56" t="s">
        <v>23</v>
      </c>
      <c r="B56">
        <v>39.549999999999997</v>
      </c>
      <c r="C56">
        <v>39.78</v>
      </c>
      <c r="D56">
        <v>39.4</v>
      </c>
      <c r="E56">
        <v>39.74</v>
      </c>
      <c r="F56" s="4">
        <v>15720</v>
      </c>
    </row>
    <row r="57" spans="1:6" x14ac:dyDescent="0.4">
      <c r="A57" t="s">
        <v>22</v>
      </c>
      <c r="B57">
        <v>39.75</v>
      </c>
      <c r="C57">
        <v>39.97</v>
      </c>
      <c r="D57">
        <v>39.53</v>
      </c>
      <c r="E57">
        <v>39.86</v>
      </c>
      <c r="F57" s="4">
        <v>18546</v>
      </c>
    </row>
  </sheetData>
  <sortState xmlns:xlrd2="http://schemas.microsoft.com/office/spreadsheetml/2017/richdata2" ref="A2:F65">
    <sortCondition ref="A1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E94A-7392-44DE-9261-0876E441F533}">
  <sheetPr codeName="工作表21"/>
  <dimension ref="A1:F57"/>
  <sheetViews>
    <sheetView workbookViewId="0"/>
  </sheetViews>
  <sheetFormatPr defaultRowHeight="17" x14ac:dyDescent="0.4"/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4">
      <c r="A2" t="s">
        <v>77</v>
      </c>
      <c r="B2">
        <v>268.5</v>
      </c>
      <c r="C2">
        <v>271</v>
      </c>
      <c r="D2">
        <v>268.5</v>
      </c>
      <c r="E2">
        <v>270</v>
      </c>
      <c r="F2">
        <v>597</v>
      </c>
    </row>
    <row r="3" spans="1:6" x14ac:dyDescent="0.4">
      <c r="A3" t="s">
        <v>76</v>
      </c>
      <c r="B3">
        <v>268.5</v>
      </c>
      <c r="C3">
        <v>270</v>
      </c>
      <c r="D3">
        <v>266</v>
      </c>
      <c r="E3">
        <v>267</v>
      </c>
      <c r="F3">
        <v>594</v>
      </c>
    </row>
    <row r="4" spans="1:6" x14ac:dyDescent="0.4">
      <c r="A4" t="s">
        <v>75</v>
      </c>
      <c r="B4">
        <v>267.5</v>
      </c>
      <c r="C4">
        <v>268</v>
      </c>
      <c r="D4">
        <v>266.5</v>
      </c>
      <c r="E4">
        <v>267.5</v>
      </c>
      <c r="F4">
        <v>312</v>
      </c>
    </row>
    <row r="5" spans="1:6" x14ac:dyDescent="0.4">
      <c r="A5" t="s">
        <v>74</v>
      </c>
      <c r="B5">
        <v>267.5</v>
      </c>
      <c r="C5">
        <v>268</v>
      </c>
      <c r="D5">
        <v>267</v>
      </c>
      <c r="E5">
        <v>267.5</v>
      </c>
      <c r="F5">
        <v>184</v>
      </c>
    </row>
    <row r="6" spans="1:6" x14ac:dyDescent="0.4">
      <c r="A6" t="s">
        <v>73</v>
      </c>
      <c r="B6">
        <v>268.5</v>
      </c>
      <c r="C6">
        <v>269.5</v>
      </c>
      <c r="D6">
        <v>267.5</v>
      </c>
      <c r="E6">
        <v>268</v>
      </c>
      <c r="F6">
        <v>347</v>
      </c>
    </row>
    <row r="7" spans="1:6" x14ac:dyDescent="0.4">
      <c r="A7" t="s">
        <v>72</v>
      </c>
      <c r="B7">
        <v>269</v>
      </c>
      <c r="C7">
        <v>269.5</v>
      </c>
      <c r="D7">
        <v>268</v>
      </c>
      <c r="E7">
        <v>269</v>
      </c>
      <c r="F7">
        <v>645</v>
      </c>
    </row>
    <row r="8" spans="1:6" x14ac:dyDescent="0.4">
      <c r="A8" t="s">
        <v>71</v>
      </c>
      <c r="B8">
        <v>268</v>
      </c>
      <c r="C8">
        <v>269</v>
      </c>
      <c r="D8">
        <v>268</v>
      </c>
      <c r="E8">
        <v>268</v>
      </c>
      <c r="F8">
        <v>364</v>
      </c>
    </row>
    <row r="9" spans="1:6" x14ac:dyDescent="0.4">
      <c r="A9" t="s">
        <v>70</v>
      </c>
      <c r="B9">
        <v>269</v>
      </c>
      <c r="C9">
        <v>270</v>
      </c>
      <c r="D9">
        <v>268.5</v>
      </c>
      <c r="E9">
        <v>270</v>
      </c>
      <c r="F9">
        <v>460</v>
      </c>
    </row>
    <row r="10" spans="1:6" x14ac:dyDescent="0.4">
      <c r="A10" t="s">
        <v>69</v>
      </c>
      <c r="B10">
        <v>268.5</v>
      </c>
      <c r="C10">
        <v>269</v>
      </c>
      <c r="D10">
        <v>267.5</v>
      </c>
      <c r="E10">
        <v>268</v>
      </c>
      <c r="F10">
        <v>355</v>
      </c>
    </row>
    <row r="11" spans="1:6" x14ac:dyDescent="0.4">
      <c r="A11" t="s">
        <v>68</v>
      </c>
      <c r="B11">
        <v>269</v>
      </c>
      <c r="C11">
        <v>269.5</v>
      </c>
      <c r="D11">
        <v>267.5</v>
      </c>
      <c r="E11">
        <v>268</v>
      </c>
      <c r="F11">
        <v>297</v>
      </c>
    </row>
    <row r="12" spans="1:6" x14ac:dyDescent="0.4">
      <c r="A12" t="s">
        <v>67</v>
      </c>
      <c r="B12">
        <v>266.5</v>
      </c>
      <c r="C12">
        <v>267</v>
      </c>
      <c r="D12">
        <v>265</v>
      </c>
      <c r="E12">
        <v>265</v>
      </c>
      <c r="F12" s="4">
        <v>1373</v>
      </c>
    </row>
    <row r="13" spans="1:6" x14ac:dyDescent="0.4">
      <c r="A13" t="s">
        <v>66</v>
      </c>
      <c r="B13">
        <v>264.5</v>
      </c>
      <c r="C13">
        <v>266.5</v>
      </c>
      <c r="D13">
        <v>263</v>
      </c>
      <c r="E13">
        <v>263</v>
      </c>
      <c r="F13" s="4">
        <v>1328</v>
      </c>
    </row>
    <row r="14" spans="1:6" x14ac:dyDescent="0.4">
      <c r="A14" t="s">
        <v>65</v>
      </c>
      <c r="B14">
        <v>264.5</v>
      </c>
      <c r="C14">
        <v>266</v>
      </c>
      <c r="D14">
        <v>263.5</v>
      </c>
      <c r="E14">
        <v>264.5</v>
      </c>
      <c r="F14">
        <v>508</v>
      </c>
    </row>
    <row r="15" spans="1:6" x14ac:dyDescent="0.4">
      <c r="A15" t="s">
        <v>64</v>
      </c>
      <c r="B15">
        <v>263.5</v>
      </c>
      <c r="C15">
        <v>265.5</v>
      </c>
      <c r="D15">
        <v>263.5</v>
      </c>
      <c r="E15">
        <v>265</v>
      </c>
      <c r="F15">
        <v>524</v>
      </c>
    </row>
    <row r="16" spans="1:6" x14ac:dyDescent="0.4">
      <c r="A16" t="s">
        <v>63</v>
      </c>
      <c r="B16">
        <v>265</v>
      </c>
      <c r="C16">
        <v>265.5</v>
      </c>
      <c r="D16">
        <v>264.5</v>
      </c>
      <c r="E16">
        <v>264.5</v>
      </c>
      <c r="F16">
        <v>300</v>
      </c>
    </row>
    <row r="17" spans="1:6" x14ac:dyDescent="0.4">
      <c r="A17" t="s">
        <v>62</v>
      </c>
      <c r="B17">
        <v>264.5</v>
      </c>
      <c r="C17">
        <v>265</v>
      </c>
      <c r="D17">
        <v>263.5</v>
      </c>
      <c r="E17">
        <v>263.5</v>
      </c>
      <c r="F17" s="4">
        <v>1159</v>
      </c>
    </row>
    <row r="18" spans="1:6" x14ac:dyDescent="0.4">
      <c r="A18" t="s">
        <v>61</v>
      </c>
      <c r="B18">
        <v>264</v>
      </c>
      <c r="C18">
        <v>265</v>
      </c>
      <c r="D18">
        <v>263.5</v>
      </c>
      <c r="E18">
        <v>264</v>
      </c>
      <c r="F18">
        <v>349</v>
      </c>
    </row>
    <row r="19" spans="1:6" x14ac:dyDescent="0.4">
      <c r="A19" t="s">
        <v>60</v>
      </c>
      <c r="B19">
        <v>264</v>
      </c>
      <c r="C19">
        <v>266.5</v>
      </c>
      <c r="D19">
        <v>264</v>
      </c>
      <c r="E19">
        <v>266.5</v>
      </c>
      <c r="F19">
        <v>607</v>
      </c>
    </row>
    <row r="20" spans="1:6" x14ac:dyDescent="0.4">
      <c r="A20" t="s">
        <v>59</v>
      </c>
      <c r="B20">
        <v>265</v>
      </c>
      <c r="C20">
        <v>266</v>
      </c>
      <c r="D20">
        <v>264.5</v>
      </c>
      <c r="E20">
        <v>265</v>
      </c>
      <c r="F20">
        <v>885</v>
      </c>
    </row>
    <row r="21" spans="1:6" x14ac:dyDescent="0.4">
      <c r="A21" t="s">
        <v>58</v>
      </c>
      <c r="B21">
        <v>264.5</v>
      </c>
      <c r="C21">
        <v>266</v>
      </c>
      <c r="D21">
        <v>264</v>
      </c>
      <c r="E21">
        <v>264.5</v>
      </c>
      <c r="F21">
        <v>832</v>
      </c>
    </row>
    <row r="22" spans="1:6" x14ac:dyDescent="0.4">
      <c r="A22" t="s">
        <v>57</v>
      </c>
      <c r="B22">
        <v>264.5</v>
      </c>
      <c r="C22">
        <v>264.5</v>
      </c>
      <c r="D22">
        <v>263</v>
      </c>
      <c r="E22">
        <v>263.5</v>
      </c>
      <c r="F22" s="4">
        <v>1471</v>
      </c>
    </row>
    <row r="23" spans="1:6" x14ac:dyDescent="0.4">
      <c r="A23" t="s">
        <v>56</v>
      </c>
      <c r="B23">
        <v>264.5</v>
      </c>
      <c r="C23">
        <v>265.5</v>
      </c>
      <c r="D23">
        <v>263.5</v>
      </c>
      <c r="E23">
        <v>264</v>
      </c>
      <c r="F23">
        <v>949</v>
      </c>
    </row>
    <row r="24" spans="1:6" x14ac:dyDescent="0.4">
      <c r="A24" t="s">
        <v>55</v>
      </c>
      <c r="B24">
        <v>266</v>
      </c>
      <c r="C24">
        <v>270</v>
      </c>
      <c r="D24">
        <v>266</v>
      </c>
      <c r="E24">
        <v>270</v>
      </c>
      <c r="F24" s="4">
        <v>1033</v>
      </c>
    </row>
    <row r="25" spans="1:6" x14ac:dyDescent="0.4">
      <c r="A25" t="s">
        <v>54</v>
      </c>
      <c r="B25">
        <v>270</v>
      </c>
      <c r="C25">
        <v>270</v>
      </c>
      <c r="D25">
        <v>268</v>
      </c>
      <c r="E25">
        <v>270</v>
      </c>
      <c r="F25">
        <v>552</v>
      </c>
    </row>
    <row r="26" spans="1:6" x14ac:dyDescent="0.4">
      <c r="A26" t="s">
        <v>53</v>
      </c>
      <c r="B26">
        <v>268</v>
      </c>
      <c r="C26">
        <v>268</v>
      </c>
      <c r="D26">
        <v>266</v>
      </c>
      <c r="E26">
        <v>267</v>
      </c>
      <c r="F26">
        <v>599</v>
      </c>
    </row>
    <row r="27" spans="1:6" x14ac:dyDescent="0.4">
      <c r="A27" t="s">
        <v>52</v>
      </c>
      <c r="B27">
        <v>265.5</v>
      </c>
      <c r="C27">
        <v>266</v>
      </c>
      <c r="D27">
        <v>265</v>
      </c>
      <c r="E27">
        <v>265.5</v>
      </c>
      <c r="F27" s="4">
        <v>1250</v>
      </c>
    </row>
    <row r="28" spans="1:6" x14ac:dyDescent="0.4">
      <c r="A28" t="s">
        <v>51</v>
      </c>
      <c r="B28">
        <v>267</v>
      </c>
      <c r="C28">
        <v>267</v>
      </c>
      <c r="D28">
        <v>265</v>
      </c>
      <c r="E28">
        <v>265</v>
      </c>
      <c r="F28">
        <v>740</v>
      </c>
    </row>
    <row r="29" spans="1:6" x14ac:dyDescent="0.4">
      <c r="A29" t="s">
        <v>50</v>
      </c>
      <c r="B29">
        <v>267</v>
      </c>
      <c r="C29">
        <v>268.5</v>
      </c>
      <c r="D29">
        <v>265.5</v>
      </c>
      <c r="E29">
        <v>268</v>
      </c>
      <c r="F29">
        <v>697</v>
      </c>
    </row>
    <row r="30" spans="1:6" x14ac:dyDescent="0.4">
      <c r="A30" t="s">
        <v>49</v>
      </c>
      <c r="B30">
        <v>268</v>
      </c>
      <c r="C30">
        <v>270</v>
      </c>
      <c r="D30">
        <v>268</v>
      </c>
      <c r="E30">
        <v>270</v>
      </c>
      <c r="F30">
        <v>643</v>
      </c>
    </row>
    <row r="31" spans="1:6" x14ac:dyDescent="0.4">
      <c r="A31" t="s">
        <v>48</v>
      </c>
      <c r="B31">
        <v>270</v>
      </c>
      <c r="C31">
        <v>270.5</v>
      </c>
      <c r="D31">
        <v>268.5</v>
      </c>
      <c r="E31">
        <v>270.5</v>
      </c>
      <c r="F31">
        <v>734</v>
      </c>
    </row>
    <row r="32" spans="1:6" x14ac:dyDescent="0.4">
      <c r="A32" t="s">
        <v>47</v>
      </c>
      <c r="B32">
        <v>270</v>
      </c>
      <c r="C32">
        <v>271</v>
      </c>
      <c r="D32">
        <v>268</v>
      </c>
      <c r="E32">
        <v>268.5</v>
      </c>
      <c r="F32">
        <v>908</v>
      </c>
    </row>
    <row r="33" spans="1:6" x14ac:dyDescent="0.4">
      <c r="A33" t="s">
        <v>46</v>
      </c>
      <c r="B33">
        <v>268.5</v>
      </c>
      <c r="C33">
        <v>270.5</v>
      </c>
      <c r="D33">
        <v>268.5</v>
      </c>
      <c r="E33">
        <v>270</v>
      </c>
      <c r="F33">
        <v>550</v>
      </c>
    </row>
    <row r="34" spans="1:6" x14ac:dyDescent="0.4">
      <c r="A34" t="s">
        <v>45</v>
      </c>
      <c r="B34">
        <v>269</v>
      </c>
      <c r="C34">
        <v>270.5</v>
      </c>
      <c r="D34">
        <v>269</v>
      </c>
      <c r="E34">
        <v>270.5</v>
      </c>
      <c r="F34">
        <v>541</v>
      </c>
    </row>
    <row r="35" spans="1:6" x14ac:dyDescent="0.4">
      <c r="A35" t="s">
        <v>44</v>
      </c>
      <c r="B35">
        <v>269.5</v>
      </c>
      <c r="C35">
        <v>270.5</v>
      </c>
      <c r="D35">
        <v>268</v>
      </c>
      <c r="E35">
        <v>268</v>
      </c>
      <c r="F35">
        <v>892</v>
      </c>
    </row>
    <row r="36" spans="1:6" x14ac:dyDescent="0.4">
      <c r="A36" t="s">
        <v>43</v>
      </c>
      <c r="B36">
        <v>270.5</v>
      </c>
      <c r="C36">
        <v>271</v>
      </c>
      <c r="D36">
        <v>268.5</v>
      </c>
      <c r="E36">
        <v>269.5</v>
      </c>
      <c r="F36" s="4">
        <v>2420</v>
      </c>
    </row>
    <row r="37" spans="1:6" x14ac:dyDescent="0.4">
      <c r="A37" t="s">
        <v>42</v>
      </c>
      <c r="B37">
        <v>269</v>
      </c>
      <c r="C37">
        <v>271.5</v>
      </c>
      <c r="D37">
        <v>269</v>
      </c>
      <c r="E37">
        <v>270.5</v>
      </c>
      <c r="F37">
        <v>786</v>
      </c>
    </row>
    <row r="38" spans="1:6" x14ac:dyDescent="0.4">
      <c r="A38" t="s">
        <v>41</v>
      </c>
      <c r="B38">
        <v>270</v>
      </c>
      <c r="C38">
        <v>270</v>
      </c>
      <c r="D38">
        <v>268.5</v>
      </c>
      <c r="E38">
        <v>269</v>
      </c>
      <c r="F38">
        <v>650</v>
      </c>
    </row>
    <row r="39" spans="1:6" x14ac:dyDescent="0.4">
      <c r="A39" t="s">
        <v>40</v>
      </c>
      <c r="B39">
        <v>268.5</v>
      </c>
      <c r="C39">
        <v>270.5</v>
      </c>
      <c r="D39">
        <v>268.5</v>
      </c>
      <c r="E39">
        <v>268.5</v>
      </c>
      <c r="F39">
        <v>805</v>
      </c>
    </row>
    <row r="40" spans="1:6" x14ac:dyDescent="0.4">
      <c r="A40" t="s">
        <v>39</v>
      </c>
      <c r="B40">
        <v>268.5</v>
      </c>
      <c r="C40">
        <v>270</v>
      </c>
      <c r="D40">
        <v>268</v>
      </c>
      <c r="E40">
        <v>270</v>
      </c>
      <c r="F40">
        <v>399</v>
      </c>
    </row>
    <row r="41" spans="1:6" x14ac:dyDescent="0.4">
      <c r="A41" t="s">
        <v>38</v>
      </c>
      <c r="B41">
        <v>268</v>
      </c>
      <c r="C41">
        <v>269</v>
      </c>
      <c r="D41">
        <v>267</v>
      </c>
      <c r="E41">
        <v>267</v>
      </c>
      <c r="F41" s="4">
        <v>1562</v>
      </c>
    </row>
    <row r="42" spans="1:6" x14ac:dyDescent="0.4">
      <c r="A42" t="s">
        <v>37</v>
      </c>
      <c r="B42">
        <v>267.5</v>
      </c>
      <c r="C42">
        <v>270.5</v>
      </c>
      <c r="D42">
        <v>267.5</v>
      </c>
      <c r="E42">
        <v>268.5</v>
      </c>
      <c r="F42">
        <v>871</v>
      </c>
    </row>
    <row r="43" spans="1:6" x14ac:dyDescent="0.4">
      <c r="A43" t="s">
        <v>36</v>
      </c>
      <c r="B43">
        <v>269.5</v>
      </c>
      <c r="C43">
        <v>269.5</v>
      </c>
      <c r="D43">
        <v>268</v>
      </c>
      <c r="E43">
        <v>268</v>
      </c>
      <c r="F43">
        <v>450</v>
      </c>
    </row>
    <row r="44" spans="1:6" x14ac:dyDescent="0.4">
      <c r="A44" t="s">
        <v>35</v>
      </c>
      <c r="B44">
        <v>269.5</v>
      </c>
      <c r="C44">
        <v>270.5</v>
      </c>
      <c r="D44">
        <v>267.5</v>
      </c>
      <c r="E44">
        <v>267.5</v>
      </c>
      <c r="F44">
        <v>871</v>
      </c>
    </row>
    <row r="45" spans="1:6" x14ac:dyDescent="0.4">
      <c r="A45" t="s">
        <v>34</v>
      </c>
      <c r="B45">
        <v>267</v>
      </c>
      <c r="C45">
        <v>269.5</v>
      </c>
      <c r="D45">
        <v>267</v>
      </c>
      <c r="E45">
        <v>268</v>
      </c>
      <c r="F45">
        <v>940</v>
      </c>
    </row>
    <row r="46" spans="1:6" x14ac:dyDescent="0.4">
      <c r="A46" t="s">
        <v>33</v>
      </c>
      <c r="B46">
        <v>268</v>
      </c>
      <c r="C46">
        <v>270</v>
      </c>
      <c r="D46">
        <v>267.5</v>
      </c>
      <c r="E46">
        <v>267.5</v>
      </c>
      <c r="F46" s="4">
        <v>1122</v>
      </c>
    </row>
    <row r="47" spans="1:6" x14ac:dyDescent="0.4">
      <c r="A47" t="s">
        <v>32</v>
      </c>
      <c r="B47">
        <v>269</v>
      </c>
      <c r="C47">
        <v>269</v>
      </c>
      <c r="D47">
        <v>267.5</v>
      </c>
      <c r="E47">
        <v>267.5</v>
      </c>
      <c r="F47" s="4">
        <v>2382</v>
      </c>
    </row>
    <row r="48" spans="1:6" x14ac:dyDescent="0.4">
      <c r="A48" t="s">
        <v>31</v>
      </c>
      <c r="B48">
        <v>268</v>
      </c>
      <c r="C48">
        <v>270</v>
      </c>
      <c r="D48">
        <v>268</v>
      </c>
      <c r="E48">
        <v>268.5</v>
      </c>
      <c r="F48">
        <v>549</v>
      </c>
    </row>
    <row r="49" spans="1:6" x14ac:dyDescent="0.4">
      <c r="A49" t="s">
        <v>30</v>
      </c>
      <c r="B49">
        <v>267.5</v>
      </c>
      <c r="C49">
        <v>268</v>
      </c>
      <c r="D49">
        <v>266</v>
      </c>
      <c r="E49">
        <v>266</v>
      </c>
      <c r="F49" s="4">
        <v>1556</v>
      </c>
    </row>
    <row r="50" spans="1:6" x14ac:dyDescent="0.4">
      <c r="A50" t="s">
        <v>29</v>
      </c>
      <c r="B50">
        <v>266.5</v>
      </c>
      <c r="C50">
        <v>267.5</v>
      </c>
      <c r="D50">
        <v>266</v>
      </c>
      <c r="E50">
        <v>266</v>
      </c>
      <c r="F50">
        <v>860</v>
      </c>
    </row>
    <row r="51" spans="1:6" x14ac:dyDescent="0.4">
      <c r="A51" t="s">
        <v>28</v>
      </c>
      <c r="B51">
        <v>267.5</v>
      </c>
      <c r="C51">
        <v>268.5</v>
      </c>
      <c r="D51">
        <v>267</v>
      </c>
      <c r="E51">
        <v>267.5</v>
      </c>
      <c r="F51">
        <v>672</v>
      </c>
    </row>
    <row r="52" spans="1:6" x14ac:dyDescent="0.4">
      <c r="A52" t="s">
        <v>27</v>
      </c>
      <c r="B52">
        <v>267</v>
      </c>
      <c r="C52">
        <v>268</v>
      </c>
      <c r="D52">
        <v>266.5</v>
      </c>
      <c r="E52">
        <v>267.5</v>
      </c>
      <c r="F52">
        <v>710</v>
      </c>
    </row>
    <row r="53" spans="1:6" x14ac:dyDescent="0.4">
      <c r="A53" t="s">
        <v>26</v>
      </c>
      <c r="B53">
        <v>267</v>
      </c>
      <c r="C53">
        <v>268</v>
      </c>
      <c r="D53">
        <v>267</v>
      </c>
      <c r="E53">
        <v>267.5</v>
      </c>
      <c r="F53">
        <v>316</v>
      </c>
    </row>
    <row r="54" spans="1:6" x14ac:dyDescent="0.4">
      <c r="A54" t="s">
        <v>25</v>
      </c>
      <c r="B54">
        <v>268</v>
      </c>
      <c r="C54">
        <v>268</v>
      </c>
      <c r="D54">
        <v>266</v>
      </c>
      <c r="E54">
        <v>266</v>
      </c>
      <c r="F54" s="4">
        <v>1210</v>
      </c>
    </row>
    <row r="55" spans="1:6" x14ac:dyDescent="0.4">
      <c r="A55" t="s">
        <v>24</v>
      </c>
      <c r="B55">
        <v>266</v>
      </c>
      <c r="C55">
        <v>268.5</v>
      </c>
      <c r="D55">
        <v>266</v>
      </c>
      <c r="E55">
        <v>268.5</v>
      </c>
      <c r="F55">
        <v>426</v>
      </c>
    </row>
    <row r="56" spans="1:6" x14ac:dyDescent="0.4">
      <c r="A56" t="s">
        <v>23</v>
      </c>
      <c r="B56">
        <v>267.5</v>
      </c>
      <c r="C56">
        <v>268</v>
      </c>
      <c r="D56">
        <v>265.5</v>
      </c>
      <c r="E56">
        <v>265.5</v>
      </c>
      <c r="F56">
        <v>951</v>
      </c>
    </row>
    <row r="57" spans="1:6" x14ac:dyDescent="0.4">
      <c r="A57" t="s">
        <v>22</v>
      </c>
      <c r="B57">
        <v>266.5</v>
      </c>
      <c r="C57">
        <v>268</v>
      </c>
      <c r="D57">
        <v>266.5</v>
      </c>
      <c r="E57">
        <v>266.5</v>
      </c>
      <c r="F57">
        <v>380</v>
      </c>
    </row>
  </sheetData>
  <sortState xmlns:xlrd2="http://schemas.microsoft.com/office/spreadsheetml/2017/richdata2" ref="A2:F65">
    <sortCondition ref="A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DFE6CC-501C-4D0F-A619-C6B02D815D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輸入面板</vt:lpstr>
      <vt:lpstr>五股收盤價與其他數據彙總</vt:lpstr>
      <vt:lpstr>模擬股票報酬</vt:lpstr>
      <vt:lpstr>最佳化權重與數據</vt:lpstr>
      <vt:lpstr>2882</vt:lpstr>
      <vt:lpstr>2330</vt:lpstr>
      <vt:lpstr>00878 </vt:lpstr>
      <vt:lpstr>0056</vt:lpstr>
      <vt:lpstr>2912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伊婷 蔣</dc:creator>
  <cp:lastModifiedBy>伊婷 蔣</cp:lastModifiedBy>
  <dcterms:created xsi:type="dcterms:W3CDTF">2024-03-24T18:50:19Z</dcterms:created>
  <dcterms:modified xsi:type="dcterms:W3CDTF">2024-06-11T06:44:49Z</dcterms:modified>
</cp:coreProperties>
</file>